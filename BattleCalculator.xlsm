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Kavithasan P\Desktop\"/>
    </mc:Choice>
  </mc:AlternateContent>
  <xr:revisionPtr revIDLastSave="0" documentId="13_ncr:1_{621ABD48-6FC1-4025-A32C-786CD596CD89}" xr6:coauthVersionLast="47" xr6:coauthVersionMax="47" xr10:uidLastSave="{00000000-0000-0000-0000-000000000000}"/>
  <bookViews>
    <workbookView xWindow="-108" yWindow="-108" windowWidth="23256" windowHeight="12456" xr2:uid="{2784E7E5-FA2A-4DE2-AB80-6D4F66A563D8}"/>
  </bookViews>
  <sheets>
    <sheet name="Battle" sheetId="2" r:id="rId1"/>
    <sheet name="Results" sheetId="1" r:id="rId2"/>
  </sheets>
  <functionGroups builtInGroupCount="19"/>
  <definedNames>
    <definedName name="_xlpm.a" hidden="1" xlm="1">#NAME?</definedName>
    <definedName name="_xlpm.aCap" hidden="1" xlm="1">#NAME?</definedName>
    <definedName name="_xlpm.ad" hidden="1" xlm="1">#NAME?</definedName>
    <definedName name="_xlpm.adv" hidden="1" xlm="1">#NAME?</definedName>
    <definedName name="_xlpm.affinities" hidden="1" xlm="1">#NAME?</definedName>
    <definedName name="_xlpm.affinity" hidden="1" xlm="1">#NAME?</definedName>
    <definedName name="_xlpm.ank" hidden="1" xlm="1">#NAME?</definedName>
    <definedName name="_xlpm.at" hidden="1" xlm="1">#NAME?</definedName>
    <definedName name="_xlpm.atkAdv" hidden="1" xlm="1">#NAME?</definedName>
    <definedName name="_xlpm.atkFili" hidden="1" xlm="1">#NAME?</definedName>
    <definedName name="_xlpm.atkIndex" hidden="1" xlm="1">#NAME?</definedName>
    <definedName name="_xlpm.atkReav" hidden="1" xlm="1">#NAME?</definedName>
    <definedName name="_xlpm.atkTri" hidden="1" xlm="1">#NAME?</definedName>
    <definedName name="_xlpm.att" hidden="1" xlm="1">#NAME?</definedName>
    <definedName name="_xlpm.atta" hidden="1" xlm="1">#NAME?</definedName>
    <definedName name="_xlpm.attac" hidden="1" xlm="1">#NAME?</definedName>
    <definedName name="_xlpm.attack" hidden="1" xlm="1">#NAME?</definedName>
    <definedName name="_xlpm.attacke" hidden="1" xlm="1">#NAME?</definedName>
    <definedName name="_xlpm.attacker" hidden="1" xlm="1">#NAME?</definedName>
    <definedName name="_xlpm.avgs" hidden="1" xlm="1">#NAME?</definedName>
    <definedName name="_xlpm.b" hidden="1" xlm="1">#NAME?</definedName>
    <definedName name="_xlpm.bCap" hidden="1" xlm="1">#NAME?</definedName>
    <definedName name="_xlpm.bishopMulti" hidden="1" xlm="1">#NAME?</definedName>
    <definedName name="_xlpm.bonus" hidden="1" xlm="1">#NAME?</definedName>
    <definedName name="_xlpm.bonusCols" hidden="1" xlm="1">#NAME?</definedName>
    <definedName name="_xlpm.bonusRow" hidden="1" xlm="1">#NAME?</definedName>
    <definedName name="_xlpm.bonusTypes" hidden="1" xlm="1">#NAME?</definedName>
    <definedName name="_xlpm.bonusValue" hidden="1" xlm="1">#NAME?</definedName>
    <definedName name="_xlpm.boosterBefore" hidden="1" xlm="1">#NAME?</definedName>
    <definedName name="_xlpm.boostersAfter" hidden="1" xlm="1">#NAME?</definedName>
    <definedName name="_xlpm.boostersBefore" hidden="1" xlm="1">#NAME?</definedName>
    <definedName name="_xlpm.c" hidden="1" xlm="1">#NAME?</definedName>
    <definedName name="_xlpm.c1avgs" hidden="1" xlm="1">#NAME?</definedName>
    <definedName name="_xlpm.ca" hidden="1" xlm="1">#NAME?</definedName>
    <definedName name="_xlpm.can" hidden="1" xlm="1">#NAME?</definedName>
    <definedName name="_xlpm.canA" hidden="1" xlm="1">#NAME?</definedName>
    <definedName name="_xlpm.canAt" hidden="1" xlm="1">#NAME?</definedName>
    <definedName name="_xlpm.canAtt" hidden="1" xlm="1">#NAME?</definedName>
    <definedName name="_xlpm.canAtta" hidden="1" xlm="1">#NAME?</definedName>
    <definedName name="_xlpm.canAttac" hidden="1" xlm="1">#NAME?</definedName>
    <definedName name="_xlpm.canAttack" hidden="1" xlm="1">#NAME?</definedName>
    <definedName name="_xlpm.cavgs" hidden="1" xlm="1">#NAME?</definedName>
    <definedName name="_xlpm.cffinity" hidden="1" xlm="1">#NAME?</definedName>
    <definedName name="_xlpm.chaffinity" hidden="1" xlm="1">#NAME?</definedName>
    <definedName name="_xlpm.char" hidden="1" xlm="1">#NAME?</definedName>
    <definedName name="_xlpm.charaffinity" hidden="1" xlm="1">#NAME?</definedName>
    <definedName name="_xlpm.charffinity" hidden="1" xlm="1">#NAME?</definedName>
    <definedName name="_xlpm.charMatch" hidden="1" xlm="1">#NAME?</definedName>
    <definedName name="_xlpm.chars" hidden="1" xlm="1">#NAME?</definedName>
    <definedName name="_xlpm.chffinity" hidden="1" xlm="1">#NAME?</definedName>
    <definedName name="_xlpm.cI" hidden="1" xlm="1">#NAME?</definedName>
    <definedName name="_xlpm.cIn" hidden="1" xlm="1">#NAME?</definedName>
    <definedName name="_xlpm.cIni" hidden="1" xlm="1">#NAME?</definedName>
    <definedName name="_xlpm.cInit" hidden="1" xlm="1">#NAME?</definedName>
    <definedName name="_xlpm.cIniti" hidden="1" xlm="1">#NAME?</definedName>
    <definedName name="_xlpm.cInitia" hidden="1" xlm="1">#NAME?</definedName>
    <definedName name="_xlpm.cInitial" hidden="1" xlm="1">#NAME?</definedName>
    <definedName name="_xlpm.classData" hidden="1" xlm="1">#NAME?</definedName>
    <definedName name="_xlpm.cO" hidden="1" xlm="1">#NAME?</definedName>
    <definedName name="_xlpm.cOn" hidden="1" xlm="1">#NAME?</definedName>
    <definedName name="_xlpm.cOne" hidden="1" xlm="1">#NAME?</definedName>
    <definedName name="_xlpm.count" hidden="1" xlm="1">#NAME?</definedName>
    <definedName name="_xlpm.d" hidden="1" xlm="1">#NAME?</definedName>
    <definedName name="_xlpm.data" hidden="1" xlm="1">#NAME?</definedName>
    <definedName name="_xlpm.def" hidden="1" xlm="1">#NAME?</definedName>
    <definedName name="_xlpm.defFili" hidden="1" xlm="1">#NAME?</definedName>
    <definedName name="_xlpm.defReav" hidden="1" xlm="1">#NAME?</definedName>
    <definedName name="_xlpm.defWpnTri" hidden="1" xlm="1">#NAME?</definedName>
    <definedName name="_xlpm.e" hidden="1" xlm="1">#NAME?</definedName>
    <definedName name="_xlpm.eeff" hidden="1" xlm="1">#NAME?</definedName>
    <definedName name="_xlpm.efeff" hidden="1" xlm="1">#NAME?</definedName>
    <definedName name="_xlpm.eff" hidden="1" xlm="1">#NAME?</definedName>
    <definedName name="_xlpm.effeff" hidden="1" xlm="1">#NAME?</definedName>
    <definedName name="_xlpm.effMeff" hidden="1" xlm="1">#NAME?</definedName>
    <definedName name="_xlpm.effMueff" hidden="1" xlm="1">#NAME?</definedName>
    <definedName name="_xlpm.effMuleff" hidden="1" xlm="1">#NAME?</definedName>
    <definedName name="_xlpm.effMulteff" hidden="1" xlm="1">#NAME?</definedName>
    <definedName name="_xlpm.effMulti" hidden="1" xlm="1">#NAME?</definedName>
    <definedName name="_xlpm.effMultieff" hidden="1" xlm="1">#NAME?</definedName>
    <definedName name="_xlpm.enemyLck" hidden="1" xlm="1">#NAME?</definedName>
    <definedName name="_xlpm.enemySpd" hidden="1" xlm="1">#NAME?</definedName>
    <definedName name="_xlpm.enemyTerBonus" hidden="1" xlm="1">#NAME?</definedName>
    <definedName name="_xlpm.enemyTerMulti" hidden="1" xlm="1">#NAME?</definedName>
    <definedName name="_xlpm.ExpType" hidden="1" xlm="1">#NAME?</definedName>
    <definedName name="_xlpm.ffinity" hidden="1" xlm="1">#NAME?</definedName>
    <definedName name="_xlpm.filtered" hidden="1" xlm="1">#NAME?</definedName>
    <definedName name="_xlpm.finalMulti" hidden="1" xlm="1">#NAME?</definedName>
    <definedName name="_xlpm.g" hidden="1" xlm="1">#NAME?</definedName>
    <definedName name="_xlpm.i" hidden="1" xlm="1">#NAME?</definedName>
    <definedName name="_xlpm.ignores" hidden="1" xlm="1">#NAME?</definedName>
    <definedName name="_xlpm.ilayable" hidden="1" xlm="1">#NAME?</definedName>
    <definedName name="_xlpm.include" hidden="1" xlm="1">#NAME?</definedName>
    <definedName name="_xlpm.islayable" hidden="1" xlm="1">#NAME?</definedName>
    <definedName name="_xlpm.isMagic" hidden="1" xlm="1">#NAME?</definedName>
    <definedName name="_xlpm.isPlayable" hidden="1" xlm="1">#NAME?</definedName>
    <definedName name="_xlpm.isWeak" hidden="1" xlm="1">#NAME?</definedName>
    <definedName name="_xlpm.keepRows" hidden="1" xlm="1">#NAME?</definedName>
    <definedName name="_xlpm.l" hidden="1" xlm="1">#NAME?</definedName>
    <definedName name="_xlpm.layable" hidden="1" xlm="1">#NAME?</definedName>
    <definedName name="_xlpm.Lck" hidden="1" xlm="1">#NAME?</definedName>
    <definedName name="_xlpm.lckwpnHit" hidden="1" xlm="1">#NAME?</definedName>
    <definedName name="_xlpm.lcwpnHit" hidden="1" xlm="1">#NAME?</definedName>
    <definedName name="_xlpm.lv" hidden="1" xlm="1">#NAME?</definedName>
    <definedName name="_xlpm.lvl" hidden="1" xlm="1">#NAME?</definedName>
    <definedName name="_xlpm.lvlA" hidden="1" xlm="1">#NAME?</definedName>
    <definedName name="_xlpm.lvlB" hidden="1" xlm="1">#NAME?</definedName>
    <definedName name="_xlpm.lvlG" hidden="1" xlm="1">#NAME?</definedName>
    <definedName name="_xlpm.lvlS" hidden="1" xlm="1">#NAME?</definedName>
    <definedName name="_xlpm.lvlU" hidden="1" xlm="1">#NAME?</definedName>
    <definedName name="_xlpm.lvlUp" hidden="1" xlm="1">#NAME?</definedName>
    <definedName name="_xlpm.lvlUpN" hidden="1" xlm="1">#NAME?</definedName>
    <definedName name="_xlpm.lvlUpNB" hidden="1" xlm="1">#NAME?</definedName>
    <definedName name="_xlpm.lvlUpO" hidden="1" xlm="1">#NAME?</definedName>
    <definedName name="_xlpm.lvlUpOn" hidden="1" xlm="1">#NAME?</definedName>
    <definedName name="_xlpm.lvlUpOne" hidden="1" xlm="1">#NAME?</definedName>
    <definedName name="_xlpm.lvlUps" hidden="1" xlm="1">#NAME?</definedName>
    <definedName name="_xlpm.lwpnHit" hidden="1" xlm="1">#NAME?</definedName>
    <definedName name="_xlpm.MagicSword" hidden="1" xlm="1">#NAME?</definedName>
    <definedName name="_xlpm.MagicSwordwpnDmg" hidden="1" xlm="1">#NAME?</definedName>
    <definedName name="_xlpm.MagicSworwpnDmg" hidden="1" xlm="1">#NAME?</definedName>
    <definedName name="_xlpm.MagicSwowpnDmg" hidden="1" xlm="1">#NAME?</definedName>
    <definedName name="_xlpm.MagicSwpnDmg" hidden="1" xlm="1">#NAME?</definedName>
    <definedName name="_xlpm.MagicSwwpnDmg" hidden="1" xlm="1">#NAME?</definedName>
    <definedName name="_xlpm.MagicwpnDmg" hidden="1" xlm="1">#NAME?</definedName>
    <definedName name="_xlpm.MagiwpnDmg" hidden="1" xlm="1">#NAME?</definedName>
    <definedName name="_xlpm.MagwpnDmg" hidden="1" xlm="1">#NAME?</definedName>
    <definedName name="_xlpm.MawpnDmg" hidden="1" xlm="1">#NAME?</definedName>
    <definedName name="_xlpm.multiplier" hidden="1" xlm="1">#NAME?</definedName>
    <definedName name="_xlpm.multiReav" hidden="1" xlm="1">#NAME?</definedName>
    <definedName name="_xlpm.MwpnDmg" hidden="1" xlm="1">#NAME?</definedName>
    <definedName name="_xlpm.nameMatch" hidden="1" xlm="1">#NAME?</definedName>
    <definedName name="_xlpm.nonBlank" hidden="1" xlm="1">#NAME?</definedName>
    <definedName name="_xlpm.options" hidden="1" xlm="1">#NAME?</definedName>
    <definedName name="_xlpm.p" hidden="1" xlm="1">#NAME?</definedName>
    <definedName name="_xlpm.pairKey" hidden="1" xlm="1">#NAME?</definedName>
    <definedName name="_xlpm.pairKeys" hidden="1" xlm="1">#NAME?</definedName>
    <definedName name="_xlpm.pairs" hidden="1" xlm="1">#NAME?</definedName>
    <definedName name="_xlpm.partners" hidden="1" xlm="1">#NAME?</definedName>
    <definedName name="_xlpm.pathB" hidden="1" xlm="1">#NAME?</definedName>
    <definedName name="_xlpm.pathT" hidden="1" xlm="1">#NAME?</definedName>
    <definedName name="_xlpm.pClass" hidden="1" xlm="1">#NAME?</definedName>
    <definedName name="_xlpm.playable" hidden="1" xlm="1">#NAME?</definedName>
    <definedName name="_xlpm.promotes" hidden="1" xlm="1">#NAME?</definedName>
    <definedName name="_xlpm.pT" hidden="1" xlm="1">#NAME?</definedName>
    <definedName name="_xlpm.r" hidden="1" xlm="1">#NAME?</definedName>
    <definedName name="_xlpm.rank" hidden="1" xlm="1">#NAME?</definedName>
    <definedName name="_xlpm.rankBonus" hidden="1" xlm="1">#NAME?</definedName>
    <definedName name="_xlpm.ranks" hidden="1" xlm="1">#NAME?</definedName>
    <definedName name="_xlpm.res" hidden="1" xlm="1">#NAME?</definedName>
    <definedName name="_xlpm.results" hidden="1" xlm="1">#NAME?</definedName>
    <definedName name="_xlpm.revPairs" hidden="1" xlm="1">#NAME?</definedName>
    <definedName name="_xlpm.route" hidden="1" xlm="1">#NAME?</definedName>
    <definedName name="_xlpm.rp" hidden="1" xlm="1">#NAME?</definedName>
    <definedName name="_xlpm.s" hidden="1" xlm="1">#NAME?</definedName>
    <definedName name="_xlpm.S_" hidden="1" xlm="1">#NAME?</definedName>
    <definedName name="_xlpm.S_M" hidden="1" xlm="1">#NAME?</definedName>
    <definedName name="_xlpm.score" hidden="1" xlm="1">#NAME?</definedName>
    <definedName name="_xlpm.Skl" hidden="1" xlm="1">#NAME?</definedName>
    <definedName name="_xlpm.Sm" hidden="1" xlm="1">#NAME?</definedName>
    <definedName name="_xlpm.spd" hidden="1" xlm="1">#NAME?</definedName>
    <definedName name="_xlpm.statBefore" hidden="1" xlm="1">#NAME?</definedName>
    <definedName name="_xlpm.tbl" hidden="1" xlm="1">#NAME?</definedName>
    <definedName name="_xlpm.triBonus" hidden="1" xlm="1">#NAME?</definedName>
    <definedName name="_xlpm.triIndex" hidden="1" xlm="1">#NAME?</definedName>
    <definedName name="_xlpm.truePromotes" hidden="1" xlm="1">#NAME?</definedName>
    <definedName name="_xlpm.type" hidden="1" xlm="1">#NAME?</definedName>
    <definedName name="_xlpm.u" hidden="1" xlm="1">#NAME?</definedName>
    <definedName name="_xlpm.un" hidden="1" xlm="1">#NAME?</definedName>
    <definedName name="_xlpm.uni" hidden="1" xlm="1">#NAME?</definedName>
    <definedName name="_xlpm.unit" hidden="1" xlm="1">#NAME?</definedName>
    <definedName name="_xlpm.unitD" hidden="1" xlm="1">#NAME?</definedName>
    <definedName name="_xlpm.unitDm" hidden="1" xlm="1">#NAME?</definedName>
    <definedName name="_xlpm.unitDmg" hidden="1" xlm="1">#NAME?</definedName>
    <definedName name="_xlpm.unitS_M" hidden="1" xlm="1">#NAME?</definedName>
    <definedName name="_xlpm.used" hidden="1" xlm="1">#NAME?</definedName>
    <definedName name="_xlpm.valid" hidden="1" xlm="1">#NAME?</definedName>
    <definedName name="_xlpm.validOptions" hidden="1" xlm="1">#NAME?</definedName>
    <definedName name="_xlpm.W" hidden="1" xlm="1">#NAME?</definedName>
    <definedName name="_xlpm.weak" hidden="1" xlm="1">#NAME?</definedName>
    <definedName name="_xlpm.weakCount" hidden="1" xlm="1">#NAME?</definedName>
    <definedName name="_xlpm.weightMod" hidden="1" xlm="1">#NAME?</definedName>
    <definedName name="_xlpm.Wpn" hidden="1" xlm="1">#NAME?</definedName>
    <definedName name="_xlpm.wpnDmg" hidden="1" xlm="1">#NAME?</definedName>
    <definedName name="_xlpm.wpnHit" hidden="1" xlm="1">#NAME?</definedName>
    <definedName name="_xlpm.wpnMulti" hidden="1" xlm="1">#NAME?</definedName>
    <definedName name="_xlpm.WT" hidden="1" xlm="1">#NAME?</definedName>
    <definedName name="_xlpm.WTA" hidden="1" xlm="1">#NAME?</definedName>
    <definedName name="_xlpm.WTD" hidden="1" xlm="1">#NAME?</definedName>
    <definedName name="_xlpm.x" hidden="1" xlm="1">#NAME?</definedName>
    <definedName name="_xlpm.y" hidden="1" xlm="1">#NAME?</definedName>
    <definedName name="ClassOptions" localSheetId="0">ClassData[Class]</definedName>
    <definedName name="SRankOptions" localSheetId="0">WeaponTriangleRules[Triangle]</definedName>
    <definedName name="TerrainOptions" localSheetId="0">TerrainData[Terrain]</definedName>
    <definedName name="UnitOptions" localSheetId="0">UnitData[Name]</definedName>
    <definedName name="WeaponOptions" localSheetId="0">WeaponData[Weapon]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U2" i="2" l="1"/>
  <c r="AU3" i="2"/>
  <c r="AU4" i="2"/>
  <c r="AQ2" i="2"/>
  <c r="AQ3" i="2"/>
  <c r="AQ4" i="2"/>
  <c r="AR2" i="2"/>
  <c r="AR3" i="2"/>
  <c r="Y3" i="2" s="1" a="1"/>
  <c r="Y3" i="2" s="1"/>
  <c r="AR4" i="2"/>
  <c r="Y4" i="2" s="1" a="1"/>
  <c r="Y4" i="2" s="1"/>
  <c r="AV2" i="2"/>
  <c r="AM2" i="2" s="1" a="1"/>
  <c r="AM2" i="2" s="1"/>
  <c r="AV3" i="2"/>
  <c r="AN3" i="2" s="1" a="1"/>
  <c r="AN3" i="2" s="1"/>
  <c r="AV4" i="2"/>
  <c r="AN4" i="2" s="1" a="1"/>
  <c r="AN4" i="2" s="1"/>
  <c r="AS4" i="2"/>
  <c r="AC4" i="2" s="1" a="1"/>
  <c r="AC4" i="2" s="1"/>
  <c r="AO4" i="2"/>
  <c r="M4" i="2" s="1" a="1"/>
  <c r="M4" i="2" s="1"/>
  <c r="AS3" i="2"/>
  <c r="Z3" i="2" s="1" a="1"/>
  <c r="Z3" i="2" s="1"/>
  <c r="AO3" i="2"/>
  <c r="N3" i="2" s="1" a="1"/>
  <c r="N3" i="2" s="1"/>
  <c r="AS2" i="2"/>
  <c r="Z2" i="2" s="1" a="1"/>
  <c r="Z2" i="2" s="1"/>
  <c r="AO2" i="2"/>
  <c r="Z4" i="2" l="1" a="1"/>
  <c r="Z4" i="2" s="1"/>
  <c r="AW3" i="2" a="1"/>
  <c r="AW3" i="2" s="1"/>
  <c r="O4" i="2" a="1"/>
  <c r="O4" i="2" s="1"/>
  <c r="K3" i="2" a="1"/>
  <c r="K3" i="2" s="1"/>
  <c r="O3" i="2" a="1"/>
  <c r="O3" i="2" s="1"/>
  <c r="K4" i="2" a="1"/>
  <c r="K4" i="2" s="1"/>
  <c r="L4" i="2" a="1"/>
  <c r="L4" i="2" s="1"/>
  <c r="AP4" i="2" s="1"/>
  <c r="V4" i="2" s="1" a="1"/>
  <c r="V4" i="2" s="1"/>
  <c r="AC3" i="2" a="1"/>
  <c r="AC3" i="2" s="1"/>
  <c r="AD3" i="2" a="1"/>
  <c r="AD3" i="2" s="1"/>
  <c r="AD2" i="2" a="1"/>
  <c r="AD2" i="2" s="1"/>
  <c r="M3" i="2" a="1"/>
  <c r="M3" i="2" s="1"/>
  <c r="AA4" i="2" a="1"/>
  <c r="AA4" i="2" s="1"/>
  <c r="AT4" i="2" s="1"/>
  <c r="AK4" i="2" s="1" a="1"/>
  <c r="AK4" i="2" s="1"/>
  <c r="AD4" i="2" a="1"/>
  <c r="AD4" i="2" s="1"/>
  <c r="AA3" i="2" a="1"/>
  <c r="AA3" i="2" s="1"/>
  <c r="AT3" i="2" s="1"/>
  <c r="AJ3" i="2" s="1" a="1"/>
  <c r="AJ3" i="2" s="1"/>
  <c r="N4" i="2" a="1"/>
  <c r="N4" i="2" s="1"/>
  <c r="AM4" i="2" a="1"/>
  <c r="AM4" i="2" s="1"/>
  <c r="AW2" i="2" a="1"/>
  <c r="AW2" i="2" s="1"/>
  <c r="AF2" i="2" a="1"/>
  <c r="AF2" i="2" s="1"/>
  <c r="AL2" i="2" a="1"/>
  <c r="AL2" i="2" s="1"/>
  <c r="AA2" i="2" a="1"/>
  <c r="AA2" i="2" s="1"/>
  <c r="AT2" i="2" s="1"/>
  <c r="AJ2" i="2" s="1" a="1"/>
  <c r="AJ2" i="2" s="1"/>
  <c r="AB2" i="2" a="1"/>
  <c r="AB2" i="2" s="1"/>
  <c r="Q2" i="2" a="1"/>
  <c r="Q2" i="2" s="1"/>
  <c r="AN2" i="2" a="1"/>
  <c r="AN2" i="2" s="1"/>
  <c r="AC2" i="2" a="1"/>
  <c r="AC2" i="2" s="1"/>
  <c r="AF3" i="2" a="1"/>
  <c r="AF3" i="2" s="1"/>
  <c r="AE2" i="2" a="1"/>
  <c r="AE2" i="2" s="1"/>
  <c r="S2" i="2" s="1" a="1"/>
  <c r="S2" i="2" s="1"/>
  <c r="AE4" i="2" a="1"/>
  <c r="AE4" i="2" s="1"/>
  <c r="S4" i="2" s="1" a="1"/>
  <c r="S4" i="2" s="1"/>
  <c r="AL4" i="2" a="1"/>
  <c r="AL4" i="2" s="1"/>
  <c r="W2" i="2" a="1"/>
  <c r="W2" i="2" s="1"/>
  <c r="X2" i="2" a="1"/>
  <c r="X2" i="2" s="1"/>
  <c r="W3" i="2" a="1"/>
  <c r="W3" i="2" s="1"/>
  <c r="AL3" i="2" a="1"/>
  <c r="AL3" i="2" s="1"/>
  <c r="Q4" i="2" a="1"/>
  <c r="Q4" i="2" s="1"/>
  <c r="Y2" i="2" a="1"/>
  <c r="Y2" i="2" s="1"/>
  <c r="X3" i="2" a="1"/>
  <c r="X3" i="2" s="1"/>
  <c r="AM3" i="2" a="1"/>
  <c r="AM3" i="2" s="1"/>
  <c r="W4" i="2" a="1"/>
  <c r="W4" i="2" s="1"/>
  <c r="M2" i="2" a="1"/>
  <c r="M2" i="2" s="1"/>
  <c r="P3" i="2" a="1"/>
  <c r="P3" i="2" s="1"/>
  <c r="AH3" i="2" s="1" a="1"/>
  <c r="AH3" i="2" s="1"/>
  <c r="Q3" i="2" a="1"/>
  <c r="Q3" i="2" s="1"/>
  <c r="AE3" i="2" a="1"/>
  <c r="AE3" i="2" s="1"/>
  <c r="S3" i="2" s="1" a="1"/>
  <c r="S3" i="2" s="1"/>
  <c r="P4" i="2" a="1"/>
  <c r="P4" i="2" s="1"/>
  <c r="AH4" i="2" s="1" a="1"/>
  <c r="AH4" i="2" s="1"/>
  <c r="N2" i="2" a="1"/>
  <c r="N2" i="2" s="1"/>
  <c r="X4" i="2" a="1"/>
  <c r="X4" i="2" s="1"/>
  <c r="AB4" i="2" a="1"/>
  <c r="AB4" i="2" s="1"/>
  <c r="AF4" i="2" a="1"/>
  <c r="AF4" i="2" s="1"/>
  <c r="AW4" i="2" a="1"/>
  <c r="AW4" i="2" s="1"/>
  <c r="L3" i="2" a="1"/>
  <c r="L3" i="2" s="1"/>
  <c r="AP3" i="2" s="1"/>
  <c r="AB3" i="2" a="1"/>
  <c r="AB3" i="2" s="1"/>
  <c r="O2" i="2" a="1"/>
  <c r="O2" i="2" s="1"/>
  <c r="K2" i="2" a="1"/>
  <c r="K2" i="2" s="1"/>
  <c r="L2" i="2" a="1"/>
  <c r="L2" i="2" s="1"/>
  <c r="AP2" i="2" s="1"/>
  <c r="P2" i="2" a="1"/>
  <c r="P2" i="2" s="1"/>
  <c r="AH2" i="2" s="1" a="1"/>
  <c r="AH2" i="2" s="1"/>
  <c r="AI4" i="2" l="1" a="1"/>
  <c r="AI4" i="2" s="1"/>
  <c r="T3" i="2" a="1"/>
  <c r="T3" i="2" s="1"/>
  <c r="U4" i="2" a="1"/>
  <c r="U4" i="2" s="1"/>
  <c r="AJ4" i="2" a="1"/>
  <c r="AJ4" i="2" s="1"/>
  <c r="AK2" i="2" a="1"/>
  <c r="AK2" i="2" s="1"/>
  <c r="T2" i="2" a="1"/>
  <c r="T2" i="2" s="1"/>
  <c r="T4" i="2" a="1"/>
  <c r="T4" i="2" s="1"/>
  <c r="R2" i="2" a="1"/>
  <c r="R2" i="2" s="1"/>
  <c r="R3" i="2" a="1"/>
  <c r="R3" i="2" s="1"/>
  <c r="AK3" i="2" a="1"/>
  <c r="AK3" i="2" s="1"/>
  <c r="AI3" i="2" a="1"/>
  <c r="AI3" i="2" s="1"/>
  <c r="AG2" i="2" a="1"/>
  <c r="AG2" i="2" s="1"/>
  <c r="V2" i="2" a="1"/>
  <c r="V2" i="2" s="1"/>
  <c r="U2" i="2" a="1"/>
  <c r="U2" i="2" s="1"/>
  <c r="AG4" i="2" a="1"/>
  <c r="AG4" i="2" s="1"/>
  <c r="AI2" i="2" a="1"/>
  <c r="AI2" i="2" s="1"/>
  <c r="R4" i="2" a="1"/>
  <c r="R4" i="2" s="1"/>
  <c r="U3" i="2" a="1"/>
  <c r="U3" i="2" s="1"/>
  <c r="AG3" i="2" a="1"/>
  <c r="AG3" i="2" s="1"/>
  <c r="V3" i="2" a="1"/>
  <c r="V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<sst xmlns="http://schemas.openxmlformats.org/spreadsheetml/2006/main" count="1038" uniqueCount="407">
  <si>
    <t>atkName</t>
  </si>
  <si>
    <t>atkWpn</t>
  </si>
  <si>
    <t>atkTer</t>
  </si>
  <si>
    <t>defName</t>
  </si>
  <si>
    <t>defWpn</t>
  </si>
  <si>
    <t>defTer</t>
  </si>
  <si>
    <t>canCounter</t>
  </si>
  <si>
    <t>enemyMustLive</t>
  </si>
  <si>
    <t>atkIsPlayer</t>
  </si>
  <si>
    <t>atkCls</t>
  </si>
  <si>
    <t>atkLvl</t>
  </si>
  <si>
    <t>atkMaxHP</t>
  </si>
  <si>
    <t>atkCurHp</t>
  </si>
  <si>
    <t>atkLck</t>
  </si>
  <si>
    <t>atkSpeed</t>
  </si>
  <si>
    <t>atkHit</t>
  </si>
  <si>
    <t>atkCrit</t>
  </si>
  <si>
    <t>atkDmg</t>
  </si>
  <si>
    <t>atkDmgBlock</t>
  </si>
  <si>
    <t>atkSilencerVuln</t>
  </si>
  <si>
    <t>atkBrave</t>
  </si>
  <si>
    <t>atkHealDmg</t>
  </si>
  <si>
    <t>atkSelfDmg</t>
  </si>
  <si>
    <t>defIsPlayer</t>
  </si>
  <si>
    <t>defCls</t>
  </si>
  <si>
    <t>defLvl</t>
  </si>
  <si>
    <t>defMaxHP</t>
  </si>
  <si>
    <t>defCurHP</t>
  </si>
  <si>
    <t>defLck</t>
  </si>
  <si>
    <t>defSpeed</t>
  </si>
  <si>
    <t>defHit</t>
  </si>
  <si>
    <t>defCrit</t>
  </si>
  <si>
    <t>defDmg</t>
  </si>
  <si>
    <t>defDmgBlock</t>
  </si>
  <si>
    <t>defSilencerVuln</t>
  </si>
  <si>
    <t>defBrave</t>
  </si>
  <si>
    <t>defHealDmg</t>
  </si>
  <si>
    <t>defSelfDmg</t>
  </si>
  <si>
    <t>atkBUIndex</t>
  </si>
  <si>
    <t>atkClsIndex</t>
  </si>
  <si>
    <t>atkTerIndex</t>
  </si>
  <si>
    <t>atkWpnIndex</t>
  </si>
  <si>
    <t>defBUIndex</t>
  </si>
  <si>
    <t>defClsIndex</t>
  </si>
  <si>
    <t>defTerIndex</t>
  </si>
  <si>
    <t>defWpnIndex</t>
  </si>
  <si>
    <t>triBonus</t>
  </si>
  <si>
    <t>Vanessa</t>
  </si>
  <si>
    <t>Heavy Spear</t>
  </si>
  <si>
    <t>Avoid +5</t>
  </si>
  <si>
    <t>Tirado</t>
  </si>
  <si>
    <t>Iron Bow</t>
  </si>
  <si>
    <t>Plain</t>
  </si>
  <si>
    <t>Joshua</t>
  </si>
  <si>
    <t>Silver Sword</t>
  </si>
  <si>
    <t>Forest/Pillar</t>
  </si>
  <si>
    <t>Sniper1</t>
  </si>
  <si>
    <t>Silver Bow</t>
  </si>
  <si>
    <t>Throne</t>
  </si>
  <si>
    <t>Terrain</t>
  </si>
  <si>
    <t>Spd</t>
  </si>
  <si>
    <t>Hit</t>
  </si>
  <si>
    <t>Crit</t>
  </si>
  <si>
    <t>Name</t>
  </si>
  <si>
    <t>Class</t>
  </si>
  <si>
    <t>Level</t>
  </si>
  <si>
    <t>MaxHp</t>
  </si>
  <si>
    <t>CurHp</t>
  </si>
  <si>
    <t>S/M</t>
  </si>
  <si>
    <t>Skl</t>
  </si>
  <si>
    <t>Lck</t>
  </si>
  <si>
    <t>Def</t>
  </si>
  <si>
    <t>Res</t>
  </si>
  <si>
    <t>Con</t>
  </si>
  <si>
    <t>Srank</t>
  </si>
  <si>
    <t>HoplonGuard</t>
  </si>
  <si>
    <t>FiliShield</t>
  </si>
  <si>
    <t>Swordmaster</t>
  </si>
  <si>
    <t>Sword</t>
  </si>
  <si>
    <t>Paladin</t>
  </si>
  <si>
    <t>Lance</t>
  </si>
  <si>
    <t>Wyvern Knight</t>
  </si>
  <si>
    <t>Sniper</t>
  </si>
  <si>
    <t>Bow</t>
  </si>
  <si>
    <t>Weakness1</t>
  </si>
  <si>
    <t>Weakness2</t>
  </si>
  <si>
    <t>Weakness3</t>
  </si>
  <si>
    <t>CritBonus</t>
  </si>
  <si>
    <t>SilenceWeakness</t>
  </si>
  <si>
    <t>SpecialSkill</t>
  </si>
  <si>
    <t>WeaponOption1</t>
  </si>
  <si>
    <t>WeaponOption2</t>
  </si>
  <si>
    <t>WeaponOption3</t>
  </si>
  <si>
    <t>Weapon</t>
  </si>
  <si>
    <t>Category</t>
  </si>
  <si>
    <t>Triangle</t>
  </si>
  <si>
    <t>Weight</t>
  </si>
  <si>
    <t>Might</t>
  </si>
  <si>
    <t>Effective1</t>
  </si>
  <si>
    <t>Effective2</t>
  </si>
  <si>
    <t>Multiplier</t>
  </si>
  <si>
    <t>IsReaver</t>
  </si>
  <si>
    <t>IsBrave</t>
  </si>
  <si>
    <t>IsPiercing</t>
  </si>
  <si>
    <t>NoCounter</t>
  </si>
  <si>
    <t>NoCrit</t>
  </si>
  <si>
    <t>Min Range</t>
  </si>
  <si>
    <t>Max Range</t>
  </si>
  <si>
    <t>Rank</t>
  </si>
  <si>
    <t>IsMagic</t>
  </si>
  <si>
    <t>Prf</t>
  </si>
  <si>
    <t>IsRangedMagicSword</t>
  </si>
  <si>
    <t>healOnHit</t>
  </si>
  <si>
    <t>canDmgSelf</t>
  </si>
  <si>
    <t>Notes</t>
  </si>
  <si>
    <t>Lord (Eirika)</t>
  </si>
  <si>
    <t>Iron Sword</t>
  </si>
  <si>
    <t>E</t>
  </si>
  <si>
    <t>Lord (Ephraim)</t>
  </si>
  <si>
    <t>Slim Sword</t>
  </si>
  <si>
    <t>Great Lord (Eirika)</t>
  </si>
  <si>
    <t>Cavalry</t>
  </si>
  <si>
    <t>Steel Sword</t>
  </si>
  <si>
    <t>D</t>
  </si>
  <si>
    <t>Great Lord (Ephraim)</t>
  </si>
  <si>
    <t>A</t>
  </si>
  <si>
    <t>Dancer</t>
  </si>
  <si>
    <t>Iron Blade</t>
  </si>
  <si>
    <t>Soldier</t>
  </si>
  <si>
    <t>Steel Blade</t>
  </si>
  <si>
    <t>C</t>
  </si>
  <si>
    <t>Cavalier</t>
  </si>
  <si>
    <t>Silver Blade</t>
  </si>
  <si>
    <t>Poison Sword</t>
  </si>
  <si>
    <t>Great Knight</t>
  </si>
  <si>
    <t>Armored</t>
  </si>
  <si>
    <t>Axe</t>
  </si>
  <si>
    <t>Rapier</t>
  </si>
  <si>
    <t>Eirika</t>
  </si>
  <si>
    <t>Knight</t>
  </si>
  <si>
    <t>Brave Sword</t>
  </si>
  <si>
    <t>B</t>
  </si>
  <si>
    <t>General</t>
  </si>
  <si>
    <t>Great Shield</t>
  </si>
  <si>
    <t>Shamshir</t>
  </si>
  <si>
    <t>Mercenary</t>
  </si>
  <si>
    <t>Killing Edge</t>
  </si>
  <si>
    <t>Hero</t>
  </si>
  <si>
    <t>Armorslayer</t>
  </si>
  <si>
    <t>Myrmidon</t>
  </si>
  <si>
    <t>Wyrmslayer</t>
  </si>
  <si>
    <t>Dragon</t>
  </si>
  <si>
    <t>Lancereaver</t>
  </si>
  <si>
    <t>Assassin</t>
  </si>
  <si>
    <t>Silencer</t>
  </si>
  <si>
    <t>Zanbato</t>
  </si>
  <si>
    <t>Rogue</t>
  </si>
  <si>
    <t>Sieglinde</t>
  </si>
  <si>
    <t>Monster</t>
  </si>
  <si>
    <t>Thief</t>
  </si>
  <si>
    <t>Audhulma</t>
  </si>
  <si>
    <t>S</t>
  </si>
  <si>
    <t>Archer</t>
  </si>
  <si>
    <t>Ballista</t>
  </si>
  <si>
    <t>Wind Sword (melee &amp; no counter)</t>
  </si>
  <si>
    <t>Flying</t>
  </si>
  <si>
    <t>Sure Shot</t>
  </si>
  <si>
    <t>Wind Sword (range 2)</t>
  </si>
  <si>
    <t>Anima</t>
  </si>
  <si>
    <t>Ranged Magic Sword (S_M = S_M\2+SM Mod 2.)</t>
  </si>
  <si>
    <t>Ranger</t>
  </si>
  <si>
    <t>Light Brand (melee &amp; no counter)</t>
  </si>
  <si>
    <t>Wyvern Rider</t>
  </si>
  <si>
    <t>Light Brand (range 2)</t>
  </si>
  <si>
    <t>Light</t>
  </si>
  <si>
    <t>Wyvern Lord</t>
  </si>
  <si>
    <t>Runesword</t>
  </si>
  <si>
    <t>Dark</t>
  </si>
  <si>
    <t>Pierce</t>
  </si>
  <si>
    <t>Iron Lance</t>
  </si>
  <si>
    <t>Mage</t>
  </si>
  <si>
    <t>Slim Lance</t>
  </si>
  <si>
    <t>Sage</t>
  </si>
  <si>
    <t>Stave</t>
  </si>
  <si>
    <t>Steel Lance</t>
  </si>
  <si>
    <t>Mage Knight</t>
  </si>
  <si>
    <t>Silver Lance</t>
  </si>
  <si>
    <t>Monk</t>
  </si>
  <si>
    <t>Toxin Lance</t>
  </si>
  <si>
    <t>Priest</t>
  </si>
  <si>
    <t>Brave Lance</t>
  </si>
  <si>
    <t>Cleric</t>
  </si>
  <si>
    <t>Killer Lance</t>
  </si>
  <si>
    <t>Bishop</t>
  </si>
  <si>
    <t>Slayer</t>
  </si>
  <si>
    <t>Horseslayer</t>
  </si>
  <si>
    <t>Shaman</t>
  </si>
  <si>
    <t>Javelin</t>
  </si>
  <si>
    <t>Druid</t>
  </si>
  <si>
    <t>Spear</t>
  </si>
  <si>
    <t>Summoner</t>
  </si>
  <si>
    <t>Axereaver</t>
  </si>
  <si>
    <t>Journeyman (1)</t>
  </si>
  <si>
    <t>Reginleif</t>
  </si>
  <si>
    <t>Ephraim</t>
  </si>
  <si>
    <t>Journeyman (2)</t>
  </si>
  <si>
    <t>Dragonspear</t>
  </si>
  <si>
    <t>Journeyman (3)</t>
  </si>
  <si>
    <t>Vidofnir</t>
  </si>
  <si>
    <t>Recruit (1)</t>
  </si>
  <si>
    <t>Siegmund</t>
  </si>
  <si>
    <t>Recruit (2)</t>
  </si>
  <si>
    <t>Recruit (3)</t>
  </si>
  <si>
    <t>Short Spear</t>
  </si>
  <si>
    <t>Pupil (1)</t>
  </si>
  <si>
    <t>Iron Axe</t>
  </si>
  <si>
    <t>Pupil (2)</t>
  </si>
  <si>
    <t>Steel Axe</t>
  </si>
  <si>
    <t>Pupil (3)</t>
  </si>
  <si>
    <t>Silver Axe</t>
  </si>
  <si>
    <t>Manakete (F)</t>
  </si>
  <si>
    <t>Dragonstone</t>
  </si>
  <si>
    <t>Poison Axe</t>
  </si>
  <si>
    <t>Draco Zombie (Morva + others)</t>
  </si>
  <si>
    <t>Wretched Air</t>
  </si>
  <si>
    <t>Brave Axe</t>
  </si>
  <si>
    <t>Fighter</t>
  </si>
  <si>
    <t>Killer Axe</t>
  </si>
  <si>
    <t>Warrior</t>
  </si>
  <si>
    <t>Halberd</t>
  </si>
  <si>
    <t>Brigand</t>
  </si>
  <si>
    <t>Hammer</t>
  </si>
  <si>
    <t>Pirate</t>
  </si>
  <si>
    <t>Hand Axe</t>
  </si>
  <si>
    <t>Berserker</t>
  </si>
  <si>
    <t>Tomahawk</t>
  </si>
  <si>
    <t>Pegasus Knight</t>
  </si>
  <si>
    <t>Swordreaver</t>
  </si>
  <si>
    <t>Falcoknight</t>
  </si>
  <si>
    <t>Swordslayer</t>
  </si>
  <si>
    <t>Troubadour</t>
  </si>
  <si>
    <t>Hatchet</t>
  </si>
  <si>
    <t>Valkyrie</t>
  </si>
  <si>
    <t>Dragon Axe</t>
  </si>
  <si>
    <t>Necromancer</t>
  </si>
  <si>
    <t>Battle Axe</t>
  </si>
  <si>
    <t>Fleet</t>
  </si>
  <si>
    <t>Garm</t>
  </si>
  <si>
    <t>Phantom</t>
  </si>
  <si>
    <t>Devil Axe</t>
  </si>
  <si>
    <t>Backfire chance = 31- atkLuck.</t>
  </si>
  <si>
    <t>Revenant</t>
  </si>
  <si>
    <t>Claw</t>
  </si>
  <si>
    <t>Entombed</t>
  </si>
  <si>
    <t>Steel Bow</t>
  </si>
  <si>
    <t>Bonewalker</t>
  </si>
  <si>
    <t>Wight</t>
  </si>
  <si>
    <t>Poison Bow</t>
  </si>
  <si>
    <t>Bael</t>
  </si>
  <si>
    <t>Killer Bow</t>
  </si>
  <si>
    <t>Elder Bael</t>
  </si>
  <si>
    <t>Brave Bow</t>
  </si>
  <si>
    <t>Cyclops</t>
  </si>
  <si>
    <t>Short Bow</t>
  </si>
  <si>
    <t>Mauthe Doog</t>
  </si>
  <si>
    <t>Fang</t>
  </si>
  <si>
    <t>Longbow</t>
  </si>
  <si>
    <t>Gwyllgi</t>
  </si>
  <si>
    <t>Tarvos</t>
  </si>
  <si>
    <t>Iron Ballista</t>
  </si>
  <si>
    <t>Maelduin</t>
  </si>
  <si>
    <t>Killer Ballista</t>
  </si>
  <si>
    <t>Mogall</t>
  </si>
  <si>
    <t>Hover</t>
  </si>
  <si>
    <t>Eye</t>
  </si>
  <si>
    <t>Dark Spell</t>
  </si>
  <si>
    <t>Nidhogg</t>
  </si>
  <si>
    <t>Arch Mogall</t>
  </si>
  <si>
    <t>Fire</t>
  </si>
  <si>
    <t>Gorgon Egg</t>
  </si>
  <si>
    <t>Thunder</t>
  </si>
  <si>
    <t>Gorgon</t>
  </si>
  <si>
    <t>Elfire</t>
  </si>
  <si>
    <t>Gargoyle</t>
  </si>
  <si>
    <t>Bolting</t>
  </si>
  <si>
    <t>Deathgoyle</t>
  </si>
  <si>
    <t>Fimbulvetr</t>
  </si>
  <si>
    <t>Prologue-O’Neill</t>
  </si>
  <si>
    <t>Excalibur</t>
  </si>
  <si>
    <t>Ch1-Breguet</t>
  </si>
  <si>
    <t>Flux</t>
  </si>
  <si>
    <t>Ch2-Bone</t>
  </si>
  <si>
    <t>Luna</t>
  </si>
  <si>
    <t>Ch3-Bazba</t>
  </si>
  <si>
    <t>Nosferatu</t>
  </si>
  <si>
    <t>Ch4-Monster</t>
  </si>
  <si>
    <t>Eclipse</t>
  </si>
  <si>
    <t>Damage = enemyCurHp\2 + enemyCurHp Mod 2. Damage not affected by triangle. Special handling.</t>
  </si>
  <si>
    <t>Ch5-Saar</t>
  </si>
  <si>
    <t>Fenrir</t>
  </si>
  <si>
    <t>Ch5x-Zonta</t>
  </si>
  <si>
    <t>Gleipnir</t>
  </si>
  <si>
    <t>Ch6-Novala</t>
  </si>
  <si>
    <t>Naglfar</t>
  </si>
  <si>
    <t>Ch7-Murray</t>
  </si>
  <si>
    <t>Lightning</t>
  </si>
  <si>
    <t>Ch8-Tirado</t>
  </si>
  <si>
    <t>Shine</t>
  </si>
  <si>
    <t>Ch9A-Binks</t>
  </si>
  <si>
    <t>Divine</t>
  </si>
  <si>
    <t>Ch10A-Pablo</t>
  </si>
  <si>
    <t>Purge</t>
  </si>
  <si>
    <t>Ch11A-Monster</t>
  </si>
  <si>
    <t>Aura</t>
  </si>
  <si>
    <t>Ch12A-Monster</t>
  </si>
  <si>
    <t>Ivaldi</t>
  </si>
  <si>
    <t>Ch13A-Aias</t>
  </si>
  <si>
    <t>Ch13A-Pablo</t>
  </si>
  <si>
    <t>Ch14A-Carlyle</t>
  </si>
  <si>
    <t>Demon Light</t>
  </si>
  <si>
    <t>Ch9B-Gheb</t>
  </si>
  <si>
    <t>Ravager</t>
  </si>
  <si>
    <t>Ch10B-Beran</t>
  </si>
  <si>
    <t>Demon Surge</t>
  </si>
  <si>
    <t>Ch11B-Monster</t>
  </si>
  <si>
    <t>Shadowshot</t>
  </si>
  <si>
    <t>Ch12B-Monster</t>
  </si>
  <si>
    <t>Sharp Claw</t>
  </si>
  <si>
    <t>Ch13B-Selena</t>
  </si>
  <si>
    <t>Rotten Claw</t>
  </si>
  <si>
    <t>Ch14B-Vigarde</t>
  </si>
  <si>
    <t>Fetid Claw</t>
  </si>
  <si>
    <t>Ch15-Caellach</t>
  </si>
  <si>
    <t>Poison Claw</t>
  </si>
  <si>
    <t>Ch15-Valter</t>
  </si>
  <si>
    <t>Flyign</t>
  </si>
  <si>
    <t>Lethal Talon</t>
  </si>
  <si>
    <t>Ch16-Orson</t>
  </si>
  <si>
    <t>Fiery Fang</t>
  </si>
  <si>
    <t>Ch17-Lyon</t>
  </si>
  <si>
    <t>Hellfang</t>
  </si>
  <si>
    <t>Ch18-Monster</t>
  </si>
  <si>
    <t>Evil Eye</t>
  </si>
  <si>
    <t>Ch19&amp;Ch20-Riev</t>
  </si>
  <si>
    <t>Crimson Eye</t>
  </si>
  <si>
    <t>Ch20-Morva</t>
  </si>
  <si>
    <t>Heal</t>
  </si>
  <si>
    <t>Handled by way of negative damage, 1000 weight, 1000 hit, can't crit, ignores defense, no counter, and subtracts S_M when necessary, damage formula uses negative S_M if Might is negative.</t>
  </si>
  <si>
    <t>Final-Lyon</t>
  </si>
  <si>
    <t>Mend</t>
  </si>
  <si>
    <t>Handled by way of negative damage, 1000 weight, 1000 hit, can't crit, ignores defense, and subtracts S_M when necessary, damage formula uses negative S_M if Might is negative.</t>
  </si>
  <si>
    <t>Final-Fomortiis</t>
  </si>
  <si>
    <t>Recover</t>
  </si>
  <si>
    <t>Physic</t>
  </si>
  <si>
    <t>?</t>
  </si>
  <si>
    <t>Avoid</t>
  </si>
  <si>
    <t>Heal Percent</t>
  </si>
  <si>
    <t>Foritfy</t>
  </si>
  <si>
    <t>10 + Mag</t>
  </si>
  <si>
    <t>Latona</t>
  </si>
  <si>
    <t>20 + Mag</t>
  </si>
  <si>
    <t>Vulnerary</t>
  </si>
  <si>
    <t>Item</t>
  </si>
  <si>
    <t>80 + Mag</t>
  </si>
  <si>
    <t>Avoid +10</t>
  </si>
  <si>
    <t>Elixir</t>
  </si>
  <si>
    <t>Fortify</t>
  </si>
  <si>
    <t>Mountain</t>
  </si>
  <si>
    <t/>
  </si>
  <si>
    <t>Full Heal</t>
  </si>
  <si>
    <t>Peak</t>
  </si>
  <si>
    <t>Fort</t>
  </si>
  <si>
    <t>WTA Against</t>
  </si>
  <si>
    <t>WTD Against</t>
  </si>
  <si>
    <t>Gate (Avoid +20)</t>
  </si>
  <si>
    <t>Gate (Avoid +30)</t>
  </si>
  <si>
    <t>EnemyMustDie</t>
  </si>
  <si>
    <t>Success</t>
  </si>
  <si>
    <t>Fail</t>
  </si>
  <si>
    <t>Death</t>
  </si>
  <si>
    <t>Prob</t>
  </si>
  <si>
    <t>Unequipped</t>
  </si>
  <si>
    <t>Unarmed</t>
  </si>
  <si>
    <t>Handled by way of -1000 hit and -1000 S/M (for sniper class).</t>
  </si>
  <si>
    <t>IsPlayer</t>
  </si>
  <si>
    <t>Pillar</t>
  </si>
  <si>
    <t>Forest</t>
  </si>
  <si>
    <t>Sand</t>
  </si>
  <si>
    <t>Desert</t>
  </si>
  <si>
    <t>House</t>
  </si>
  <si>
    <t>Shop</t>
  </si>
  <si>
    <t>Arena</t>
  </si>
  <si>
    <t>Village</t>
  </si>
  <si>
    <t>Ruins</t>
  </si>
  <si>
    <t>Sea</t>
  </si>
  <si>
    <t>Lake</t>
  </si>
  <si>
    <t>-</t>
  </si>
  <si>
    <t>Cliff</t>
  </si>
  <si>
    <t>Fence</t>
  </si>
  <si>
    <t>Snag</t>
  </si>
  <si>
    <t>Wall</t>
  </si>
  <si>
    <t>Door</t>
  </si>
  <si>
    <t>Floor</t>
  </si>
  <si>
    <t>Stairs</t>
  </si>
  <si>
    <t>Bridge</t>
  </si>
  <si>
    <t>River</t>
  </si>
  <si>
    <t>Nothing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</si>
</sst>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0" borderId="0" xfId="0" quotePrefix="1"/>
    <xf numFmtId="0" fontId="2" fillId="0" borderId="0" xfId="0" applyFont="1"/>
  </cellXfs>
  <cellStyles count="1">
    <cellStyle name="Normal" xfId="0" builtinId="0"/>
  </cellStyles>
  <dxfs count="46"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144780</xdr:rowOff>
        </xdr:from>
        <xdr:to>
          <xdr:col>2</xdr:col>
          <xdr:colOff>99060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4FF31C2-D180-4280-A295-7B62C8C71F91}" name="WeaponTriangleRules" displayName="WeaponTriangleRules" ref="A216:C224" totalsRowShown="0">
  <autoFilter ref="A216:C224" xr:uid="{2B514D26-11D9-46FE-AE0C-F8E12B8E8126}"/>
  <tableColumns count="3">
    <tableColumn id="1" xr3:uid="{A7C3A50E-6860-4004-9174-CA329350A1C5}" name="Triangle"/>
    <tableColumn id="3" xr3:uid="{554C1F16-6F6B-42E7-9C95-307D2207D22D}" name="WTA Against"/>
    <tableColumn id="2" xr3:uid="{327BE774-05DC-44CD-919F-7A2284A5F5D5}" name="WTD Agains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BDCD762-235F-4994-9210-BF27921AFAA6}" name="TerrainData" displayName="TerrainData" ref="F208:J239" totalsRowShown="0">
  <autoFilter ref="F208:J239" xr:uid="{F246D4B8-E65C-4280-AA4D-F19C4C1D8868}"/>
  <tableColumns count="5">
    <tableColumn id="1" xr3:uid="{473E279A-581C-4C01-81C3-CF878132C65C}" name="Terrain"/>
    <tableColumn id="2" xr3:uid="{53745FAC-2D19-4873-9F7F-F7A6592DDBF6}" name="Def"/>
    <tableColumn id="3" xr3:uid="{75438775-1403-48B1-A838-593C4DC54843}" name="Avoid"/>
    <tableColumn id="4" xr3:uid="{AF6F4D90-3B98-4813-893B-2ACBF1F172DB}" name="Res"/>
    <tableColumn id="5" xr3:uid="{03A8259D-C7BC-408D-8501-410588466789}" name="Heal Percen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97F05FA-9591-4320-AA7D-0813C6C8B61C}" name="HealingStaves" displayName="HealingStaves" ref="A208:B214" totalsRowShown="0">
  <autoFilter ref="A208:B214" xr:uid="{E2D168F2-F828-4394-A290-8EDEDFD351A3}"/>
  <tableColumns count="2">
    <tableColumn id="1" xr3:uid="{6935BDEE-1410-424C-9271-1473F94F29F3}" name="Stave"/>
    <tableColumn id="2" xr3:uid="{5356839A-948C-4B2A-8276-DF570E61980A}" name="He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06F0830-4800-49A3-9DE5-A5C0C2D4974B}" name="UnitData" displayName="UnitData" ref="A22:Q26" totalsRowShown="0" dataDxfId="45">
  <autoFilter ref="A22:Q26" xr:uid="{3253D1B7-044D-471A-AC47-22657B5D48F9}"/>
  <tableColumns count="17">
    <tableColumn id="1" xr3:uid="{1E7740E4-BCA3-4A93-A698-0C2507FFC37E}" name="Name" dataDxfId="44"/>
    <tableColumn id="2" xr3:uid="{5632751C-67E4-4341-9ECD-CB492C9B8A99}" name="Class" dataDxfId="43"/>
    <tableColumn id="4" xr3:uid="{5130E7E6-7231-43ED-87C8-DCD6183BDD9B}" name="Level" dataDxfId="42"/>
    <tableColumn id="5" xr3:uid="{6D9CE8BB-58BA-40C7-97FE-C3A996DA6253}" name="MaxHp" dataDxfId="41"/>
    <tableColumn id="6" xr3:uid="{874B70CF-3724-476D-8809-C3BEB4419AC4}" name="CurHp" dataDxfId="40"/>
    <tableColumn id="7" xr3:uid="{C3527057-BEE6-428C-B01D-FE64A593B173}" name="S/M" dataDxfId="39"/>
    <tableColumn id="8" xr3:uid="{7C3D56C7-0046-4A81-98C6-BE59944023A2}" name="Skl" dataDxfId="38"/>
    <tableColumn id="9" xr3:uid="{F60CFA8C-A1B8-4FBD-AE40-FB1F91ED587F}" name="Spd" dataDxfId="37"/>
    <tableColumn id="10" xr3:uid="{D2A30CCA-C184-49E9-9B68-A69E025ECA9E}" name="Lck" dataDxfId="36"/>
    <tableColumn id="11" xr3:uid="{145ADB50-193B-4783-AD0C-5BF274EB60DF}" name="Def" dataDxfId="35"/>
    <tableColumn id="12" xr3:uid="{E2BABFDB-D7E6-41AE-8ADF-D11BB5CFB1F5}" name="Res" dataDxfId="34"/>
    <tableColumn id="13" xr3:uid="{89E1265C-8F69-454F-96FF-5DA467BECC23}" name="Con" dataDxfId="33"/>
    <tableColumn id="17" xr3:uid="{CF17FE7B-E914-48F0-9D32-D72F5B8D9E96}" name="Srank" dataDxfId="0"/>
    <tableColumn id="18" xr3:uid="{72516F4F-A517-4744-8B55-1C5DD086898C}" name="HoplonGuard" dataDxfId="4"/>
    <tableColumn id="19" xr3:uid="{D8849E5F-ABFF-4B36-980F-ADDA12B73BBA}" name="FiliShield" dataDxfId="3"/>
    <tableColumn id="20" xr3:uid="{06F408A3-4959-4CB9-B168-9D4E983F47C5}" name="IsPlayer" dataDxfId="2"/>
    <tableColumn id="14" xr3:uid="{F2C95195-39FA-4820-A2E6-4140A3A9EDF0}" name="EnemyMustDie" dataDxfId="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99EB88-215F-4986-B70B-B13E097ABC61}" name="WeaponData" displayName="WeaponData" ref="L100:AO213" totalsRowShown="0">
  <autoFilter ref="L100:AO213" xr:uid="{89733C96-B0EA-4DF5-BF9B-C3CEBEBCFA41}"/>
  <tableColumns count="30">
    <tableColumn id="1" xr3:uid="{FB15F83A-B5D6-49A9-90BA-69EC78967E96}" name="Weapon"/>
    <tableColumn id="2" xr3:uid="{45BB990F-4BAF-47D5-96DA-ABDD4B2113A7}" name="Category"/>
    <tableColumn id="27" xr3:uid="{6F9F8744-D9A2-493C-A950-A385AE551E56}" name="Triangle"/>
    <tableColumn id="3" xr3:uid="{BF8BB05D-7B65-4D45-9A2A-5B3E8248E5C5}" name="Weight"/>
    <tableColumn id="4" xr3:uid="{2640A1C0-4082-4FCE-BF24-C480F97427FD}" name="Might"/>
    <tableColumn id="5" xr3:uid="{F5ED4DD4-5B98-4A0B-8817-C46A35D820D7}" name="Hit"/>
    <tableColumn id="6" xr3:uid="{55C9C614-FDDB-4552-BB01-60E58389D348}" name="Crit"/>
    <tableColumn id="7" xr3:uid="{2A64C96D-C1E2-4831-BC12-B0AFB35BCAC4}" name="S/M"/>
    <tableColumn id="8" xr3:uid="{FB952098-736A-479F-9503-9524439D992F}" name="Skl"/>
    <tableColumn id="9" xr3:uid="{CA5512B0-3AA0-48B1-8B10-EB264649A3B4}" name="Spd"/>
    <tableColumn id="10" xr3:uid="{5EC70D52-D938-47EF-89FC-CDE5DC13FCC9}" name="Lck"/>
    <tableColumn id="11" xr3:uid="{43413FD8-60A6-45BB-9446-0D5F33076BCB}" name="Def"/>
    <tableColumn id="13" xr3:uid="{4F9013EB-23E9-45D4-A31C-1535A1745512}" name="Res"/>
    <tableColumn id="14" xr3:uid="{9A286229-E73F-4E6D-AA64-5F6A01184BA0}" name="Effective1"/>
    <tableColumn id="21" xr3:uid="{5C61C9F0-EC7E-4E73-9681-A7243060B184}" name="Effective2"/>
    <tableColumn id="15" xr3:uid="{629C858F-A309-4E17-87D5-FBF9915B5027}" name="Multiplier"/>
    <tableColumn id="16" xr3:uid="{A564B66C-3318-43B5-BBF1-D8D1FE5127E0}" name="IsReaver"/>
    <tableColumn id="17" xr3:uid="{2002E876-A2B9-4D22-9694-8A3C5AEC3C40}" name="IsBrave"/>
    <tableColumn id="12" xr3:uid="{27621E65-4D7C-4CD5-A636-9D0E392A0131}" name="IsPiercing"/>
    <tableColumn id="18" xr3:uid="{B3E68966-3FBB-46F6-A809-071C5227A638}" name="NoCounter"/>
    <tableColumn id="19" xr3:uid="{2A76C8A4-1F10-4273-8DFF-54AEDB9B57F4}" name="NoCrit"/>
    <tableColumn id="22" xr3:uid="{E9BFD2AD-3F29-421D-BE84-7A4597B18A81}" name="Min Range"/>
    <tableColumn id="23" xr3:uid="{5550BD32-0B9E-4154-B060-BB328C5F092B}" name="Max Range"/>
    <tableColumn id="25" xr3:uid="{80910BFD-F1F3-4449-A24F-80DBAD8A07BB}" name="Rank" dataDxfId="32"/>
    <tableColumn id="26" xr3:uid="{8BF0B84A-0744-4FCB-A2D1-A3C0EAA2F1FA}" name="IsMagic" dataDxfId="31"/>
    <tableColumn id="20" xr3:uid="{9A908953-8A7A-4D5A-80C2-7583B798F44E}" name="Prf"/>
    <tableColumn id="24" xr3:uid="{59B53F32-1463-4779-AA85-B0BBA73EC105}" name="IsRangedMagicSword"/>
    <tableColumn id="28" xr3:uid="{93C91445-7474-4738-9566-98121358E307}" name="healOnHit"/>
    <tableColumn id="29" xr3:uid="{D48AA87C-6CCC-4027-95BF-91F541B1A871}" name="canDmgSelf"/>
    <tableColumn id="31" xr3:uid="{4312314D-A9A9-4DFB-AC58-9E24B14E0EBC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1192B47-C7E6-468A-B2EE-3FCDCAAA30A3}" name="ClassData" displayName="ClassData" ref="A100:J206" totalsRowShown="0">
  <autoFilter ref="A100:J206" xr:uid="{E92E1627-14B3-465C-94B1-EDDCD983F3EB}"/>
  <tableColumns count="10">
    <tableColumn id="1" xr3:uid="{A996C924-3D53-4453-AE7C-F6FF32E9D621}" name="Class"/>
    <tableColumn id="2" xr3:uid="{4F4FCAA4-AFC1-4728-85BD-87CBC269FF58}" name="Weakness1"/>
    <tableColumn id="3" xr3:uid="{D6A6CBD0-5CC6-4122-9982-327A75906E6B}" name="Weakness2"/>
    <tableColumn id="4" xr3:uid="{ED66C513-7BE4-40EE-8695-992CC5DCAF26}" name="Weakness3"/>
    <tableColumn id="5" xr3:uid="{D731DD84-F7A4-42F2-90CD-2C286F7E2272}" name="CritBonus"/>
    <tableColumn id="6" xr3:uid="{4A53395C-3540-4931-AB02-34E9AA4C4A37}" name="SilenceWeakness"/>
    <tableColumn id="7" xr3:uid="{09C86259-04B8-4BA3-A027-20AAAEA10ABB}" name="SpecialSkill"/>
    <tableColumn id="8" xr3:uid="{5EA8AE7E-74C0-44F5-B978-DBC167C42B43}" name="WeaponOption1"/>
    <tableColumn id="9" xr3:uid="{B87D9EBC-B952-4CDE-B160-EA3C09E8636B}" name="WeaponOption2"/>
    <tableColumn id="10" xr3:uid="{D640EF2B-FFE0-41AE-9EB1-93959605D110}" name="WeaponOption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EBA401A-20AC-46E6-BD9E-EA3E20C7CA1C}" name="CombatData" displayName="CombatData" ref="C1:AW4" totalsRowShown="0">
  <autoFilter ref="C1:AW4" xr:uid="{94E9BE96-6AF3-4883-9ADD-BEE23A973FDD}"/>
  <tableColumns count="47">
    <tableColumn id="1" xr3:uid="{64D37EFD-950E-4637-A746-5CE338C53774}" name="atkName" dataDxfId="30"/>
    <tableColumn id="48" xr3:uid="{000C3CA8-44C4-4E7B-8644-7A95166870AF}" name="atkWpn" dataDxfId="29"/>
    <tableColumn id="29" xr3:uid="{5709F36F-253B-4B71-A642-6FAAB867D6F2}" name="atkTer" dataDxfId="28"/>
    <tableColumn id="2" xr3:uid="{9064D84C-8494-4645-9742-7EFEA60F53E8}" name="defName" dataDxfId="27"/>
    <tableColumn id="49" xr3:uid="{203007F8-9E51-4AFD-9E55-89B4A3202F4B}" name="defWpn" dataDxfId="26"/>
    <tableColumn id="28" xr3:uid="{9309D469-97DC-4CC4-8340-AC391AA93299}" name="defTer" dataDxfId="25"/>
    <tableColumn id="43" xr3:uid="{62AAF9F5-2452-49DE-A15A-C61AE4E87A43}" name="canCounter" dataDxfId="24"/>
    <tableColumn id="4" xr3:uid="{AC646F35-D5AD-42AB-84CD-40EFBD154F88}" name="enemyMustLive" dataDxfId="5"/>
    <tableColumn id="57" xr3:uid="{50AAB7E2-8A97-492B-89FE-490E3647570B}" name="atkIsPlayer" dataDxfId="23">
      <calculatedColumnFormula array="1">INDEX(UnitData[IsPlayer], CombatData[[#This Row],[atkBUIndex]])=TRUE</calculatedColumnFormula>
    </tableColumn>
    <tableColumn id="3" xr3:uid="{CB2AF42A-8F63-4BA5-A5FF-3B7BA3739586}" name="atkCls">
      <calculatedColumnFormula array="1">INDEX(UnitData[Class], CombatData[[#This Row],[atkBUIndex]])</calculatedColumnFormula>
    </tableColumn>
    <tableColumn id="5" xr3:uid="{38D6DAF9-AF4C-49BC-AEEF-13565DA6B008}" name="atkLvl">
      <calculatedColumnFormula array="1">INDEX(UnitData[Level], CombatData[[#This Row],[atkBUIndex]])</calculatedColumnFormula>
    </tableColumn>
    <tableColumn id="6" xr3:uid="{CE5A67CF-1A4D-4833-A198-DB4E12ED0580}" name="atkMaxHP">
      <calculatedColumnFormula array="1">INDEX(UnitData[MaxHp], CombatData[[#This Row],[atkBUIndex]])</calculatedColumnFormula>
    </tableColumn>
    <tableColumn id="7" xr3:uid="{AA9C9BB5-46C9-4587-ACA6-7C323E988346}" name="atkCurHp">
      <calculatedColumnFormula array="1">INDEX(UnitData[CurHp], CombatData[[#This Row],[atkBUIndex]])</calculatedColumnFormula>
    </tableColumn>
    <tableColumn id="51" xr3:uid="{2D6F780E-6F0C-4EC0-ADED-19636170E3B4}" name="atkLck" dataDxfId="22">
      <calculatedColumnFormula array="1">INDEX(UnitData[Lck], CombatData[[#This Row],[atkBUIndex]])+INDEX(WeaponData[Lck], CombatData[[#This Row],[atkWpnIndex]])</calculatedColumnFormula>
    </tableColumn>
    <tableColumn id="8" xr3:uid="{6A8E14B5-8815-4D03-90F1-CC7EBA3477B8}" name="atkSpeed">
      <calculatedColumnFormula array="1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calculatedColumnFormula>
    </tableColumn>
    <tableColumn id="9" xr3:uid="{2FB59E50-3AE9-40ED-A1FF-B4A802F88AFF}" name="atkHit" dataDxfId="21">
      <calculatedColumnFormula array="1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calculatedColumnFormula>
    </tableColumn>
    <tableColumn id="10" xr3:uid="{62A5A49F-6FD0-490B-BE8D-B225DB67A60F}" name="atkCrit" dataDxfId="20">
      <calculatedColumnFormula array="1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calculatedColumnFormula>
    </tableColumn>
    <tableColumn id="11" xr3:uid="{46512EB9-0FFE-4888-BD25-3507290F5339}" name="atkDmg" dataDxfId="19">
      <calculatedColumnFormula array="1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calculatedColumnFormula>
    </tableColumn>
    <tableColumn id="12" xr3:uid="{741D76BF-3787-4145-9B2C-04636FBC8FCF}" name="atkDmgBlock" dataDxfId="18">
      <calculatedColumnFormula array="1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calculatedColumnFormula>
    </tableColumn>
    <tableColumn id="13" xr3:uid="{7B5D429A-682A-4009-8BE0-B866946482BB}" name="atkSilencerVuln">
      <calculatedColumnFormula array="1">INDEX(ClassData[SilenceWeakness], CombatData[[#This Row],[atkClsIndex]])</calculatedColumnFormula>
    </tableColumn>
    <tableColumn id="46" xr3:uid="{33A5C963-6ED4-4EE5-8FE3-3B24C0426CF7}" name="atkBrave">
      <calculatedColumnFormula array="1">INDEX(WeaponData[IsBrave], CombatData[[#This Row],[atkWpnIndex]])=TRUE</calculatedColumnFormula>
    </tableColumn>
    <tableColumn id="54" xr3:uid="{FBD4E0A1-661F-4E14-8A0F-942C9AC215C5}" name="atkHealDmg">
      <calculatedColumnFormula array="1">INDEX(WeaponData[healOnHit], CombatData[[#This Row],[atkWpnIndex]])=TRUE</calculatedColumnFormula>
    </tableColumn>
    <tableColumn id="53" xr3:uid="{F8930A70-B763-4519-869C-E1DFB08063FB}" name="atkSelfDmg">
      <calculatedColumnFormula array="1">INDEX(WeaponData[canDmgSelf], CombatData[[#This Row],[atkWpnIndex]])=TRUE</calculatedColumnFormula>
    </tableColumn>
    <tableColumn id="15" xr3:uid="{14E97E93-0C14-4016-A116-A7EFA91F21F0}" name="defIsPlayer" dataDxfId="17">
      <calculatedColumnFormula array="1">INDEX(UnitData[IsPlayer], CombatData[[#This Row],[defBUIndex]])=TRUE</calculatedColumnFormula>
    </tableColumn>
    <tableColumn id="14" xr3:uid="{92D95F39-0165-486B-8E54-2A6087F30268}" name="defCls">
      <calculatedColumnFormula array="1">INDEX(UnitData[Class], CombatData[[#This Row],[defBUIndex]])</calculatedColumnFormula>
    </tableColumn>
    <tableColumn id="16" xr3:uid="{E632201D-281F-4E78-B4FF-9AF680473B0F}" name="defLvl">
      <calculatedColumnFormula array="1">INDEX(UnitData[Level], CombatData[[#This Row],[defBUIndex]])</calculatedColumnFormula>
    </tableColumn>
    <tableColumn id="17" xr3:uid="{987F87DA-3A09-4774-8EBC-C70CDA623E87}" name="defMaxHP">
      <calculatedColumnFormula array="1">INDEX(UnitData[MaxHp], CombatData[[#This Row],[defBUIndex]])</calculatedColumnFormula>
    </tableColumn>
    <tableColumn id="18" xr3:uid="{D556AF28-308C-4B90-91DF-5FBFD459708B}" name="defCurHP">
      <calculatedColumnFormula array="1">INDEX(UnitData[CurHp], CombatData[[#This Row],[defBUIndex]])</calculatedColumnFormula>
    </tableColumn>
    <tableColumn id="52" xr3:uid="{122A6DB6-B00C-46B7-B2B9-FEEDD92FCFF3}" name="defLck" dataDxfId="16">
      <calculatedColumnFormula array="1">INDEX(UnitData[Lck], CombatData[[#This Row],[defBUIndex]])+INDEX(WeaponData[Lck], CombatData[[#This Row],[defWpnIndex]])</calculatedColumnFormula>
    </tableColumn>
    <tableColumn id="50" xr3:uid="{779FBDA1-1F2D-41BB-9A7C-77B898586647}" name="defSpeed">
      <calculatedColumnFormula array="1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calculatedColumnFormula>
    </tableColumn>
    <tableColumn id="19" xr3:uid="{2C5519E8-154B-4352-BE40-A36E60C0E60A}" name="defHit" dataDxfId="15">
      <calculatedColumnFormula array="1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calculatedColumnFormula>
    </tableColumn>
    <tableColumn id="20" xr3:uid="{8E6E71BE-BE4C-470D-AA4C-D20337630E38}" name="defCrit" dataDxfId="14">
      <calculatedColumnFormula array="1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calculatedColumnFormula>
    </tableColumn>
    <tableColumn id="21" xr3:uid="{481F28FC-CCF4-4C83-A404-3FC2DF26FBF6}" name="defDmg" dataDxfId="13">
      <calculatedColumnFormula array="1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calculatedColumnFormula>
    </tableColumn>
    <tableColumn id="22" xr3:uid="{98F109C0-B0D1-46A9-B939-EC0250010708}" name="defDmgBlock" dataDxfId="12">
      <calculatedColumnFormula array="1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calculatedColumnFormula>
    </tableColumn>
    <tableColumn id="23" xr3:uid="{6BD62F44-C7E0-45C6-AC54-E8E214EEFD43}" name="defSilencerVuln">
      <calculatedColumnFormula array="1">INDEX(ClassData[SilenceWeakness], CombatData[[#This Row],[defClsIndex]])</calculatedColumnFormula>
    </tableColumn>
    <tableColumn id="47" xr3:uid="{CD5F9B75-6566-419A-B512-02815F3A27E6}" name="defBrave">
      <calculatedColumnFormula array="1">INDEX(WeaponData[IsBrave], CombatData[[#This Row],[defWpnIndex]])=TRUE</calculatedColumnFormula>
    </tableColumn>
    <tableColumn id="56" xr3:uid="{D6E6E50E-4DC8-41F9-A266-DB38DC550E45}" name="defHealDmg">
      <calculatedColumnFormula array="1">INDEX(WeaponData[healOnHit], CombatData[[#This Row],[defWpnIndex]])=TRUE</calculatedColumnFormula>
    </tableColumn>
    <tableColumn id="55" xr3:uid="{77844966-893F-4A13-8C47-78094A5AF81B}" name="defSelfDmg">
      <calculatedColumnFormula array="1">INDEX(WeaponData[canDmgSelf], CombatData[[#This Row],[defWpnIndex]])=TRUE</calculatedColumnFormula>
    </tableColumn>
    <tableColumn id="24" xr3:uid="{D379A7FE-6DAE-4A41-9F1A-E4D783701543}" name="atkBUIndex" dataDxfId="11">
      <calculatedColumnFormula>MATCH(CombatData[[#This Row],[atkName]], UnitData[Name], 0)</calculatedColumnFormula>
    </tableColumn>
    <tableColumn id="25" xr3:uid="{1B6B06D8-6D8C-47E4-815A-34472D64287E}" name="atkClsIndex">
      <calculatedColumnFormula>MATCH(CombatData[[#This Row],[atkCls]],ClassData[Class], 0)</calculatedColumnFormula>
    </tableColumn>
    <tableColumn id="26" xr3:uid="{B6FA111D-BEB9-4DAB-BB35-4EE3504443EB}" name="atkTerIndex" dataDxfId="10">
      <calculatedColumnFormula>IFERROR(MATCH(CombatData[[#This Row],[atkTer]], TerrainData[Terrain], 0),1)</calculatedColumnFormula>
    </tableColumn>
    <tableColumn id="27" xr3:uid="{6F707932-2864-4B45-AF0D-A312368B8948}" name="atkWpnIndex" dataDxfId="9">
      <calculatedColumnFormula>IFERROR(MATCH(CombatData[[#This Row],[atkWpn]], WeaponData[Weapon], 0), ROWS(WeaponData[Weapon]))</calculatedColumnFormula>
    </tableColumn>
    <tableColumn id="30" xr3:uid="{B7B392AF-197A-4299-8D50-BA3E30D4101B}" name="defBUIndex" dataDxfId="8">
      <calculatedColumnFormula>MATCH(CombatData[[#This Row],[defName]], UnitData[Name], 0)</calculatedColumnFormula>
    </tableColumn>
    <tableColumn id="31" xr3:uid="{A3C6CE63-6EEE-4153-A8D7-0FC0BA4B3C5C}" name="defClsIndex">
      <calculatedColumnFormula>MATCH(CombatData[[#This Row],[defCls]],ClassData[Class],0)</calculatedColumnFormula>
    </tableColumn>
    <tableColumn id="32" xr3:uid="{996B461E-12F1-422A-BD3E-7D7E479D34AD}" name="defTerIndex" dataDxfId="7">
      <calculatedColumnFormula>IFERROR(MATCH(CombatData[[#This Row],[defTer]], TerrainData[Terrain], 0),1)</calculatedColumnFormula>
    </tableColumn>
    <tableColumn id="33" xr3:uid="{7B76CCD5-7A49-4245-82CF-BB8B2093C80B}" name="defWpnIndex" dataDxfId="6">
      <calculatedColumnFormula>IFERROR(MATCH(CombatData[[#This Row],[defWpn]], WeaponData[Weapon], 0), ROWS(WeaponData[Weapon]))</calculatedColumnFormula>
    </tableColumn>
    <tableColumn id="35" xr3:uid="{BAD7F9D1-C456-4431-9FFB-35BD3CD6B234}" name="triBonus">
      <calculatedColumnFormula array="1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F3240-A790-4DB7-8E0C-BC891B86C73F}">
  <sheetPr codeName="Sheet2"/>
  <dimension ref="A1:AW239"/>
  <sheetViews>
    <sheetView tabSelected="1" zoomScaleNormal="100" workbookViewId="0">
      <selection activeCell="B10" sqref="B10"/>
    </sheetView>
  </sheetViews>
  <sheetFormatPr defaultRowHeight="14.4" x14ac:dyDescent="0.3"/>
  <cols>
    <col min="1" max="2" width="10.5546875" customWidth="1"/>
    <col min="3" max="3" width="8.88671875" customWidth="1"/>
    <col min="4" max="4" width="9.33203125" customWidth="1"/>
    <col min="5" max="5" width="8.88671875" customWidth="1"/>
    <col min="6" max="6" width="11.33203125" customWidth="1"/>
    <col min="7" max="8" width="10.88671875" customWidth="1"/>
    <col min="9" max="10" width="8.88671875" customWidth="1"/>
    <col min="11" max="11" width="9.33203125" customWidth="1"/>
    <col min="12" max="12" width="14" customWidth="1"/>
    <col min="13" max="13" width="16.109375" customWidth="1"/>
    <col min="14" max="14" width="8.88671875" customWidth="1"/>
    <col min="15" max="15" width="9.33203125" customWidth="1"/>
    <col min="16" max="16" width="8.88671875" customWidth="1"/>
    <col min="17" max="18" width="10.88671875" customWidth="1"/>
    <col min="21" max="21" width="9.33203125" customWidth="1"/>
    <col min="22" max="22" width="14" customWidth="1"/>
    <col min="23" max="23" width="16.109375" customWidth="1"/>
    <col min="24" max="28" width="8.88671875" customWidth="1"/>
    <col min="29" max="30" width="10.6640625" customWidth="1"/>
    <col min="41" max="41" width="10.33203125" customWidth="1"/>
  </cols>
  <sheetData>
    <row r="1" spans="1:49" x14ac:dyDescent="0.3">
      <c r="A1" s="3" t="s">
        <v>377</v>
      </c>
      <c r="B1">
        <v>0.99999999999999989</v>
      </c>
      <c r="C1" t="s">
        <v>0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9</v>
      </c>
      <c r="M1" t="s">
        <v>10</v>
      </c>
      <c r="N1" t="s">
        <v>11</v>
      </c>
      <c r="O1" t="s">
        <v>12</v>
      </c>
      <c r="P1" t="s">
        <v>13</v>
      </c>
      <c r="Q1" t="s">
        <v>14</v>
      </c>
      <c r="R1" t="s">
        <v>15</v>
      </c>
      <c r="S1" t="s">
        <v>16</v>
      </c>
      <c r="T1" t="s">
        <v>17</v>
      </c>
      <c r="U1" t="s">
        <v>18</v>
      </c>
      <c r="V1" t="s">
        <v>19</v>
      </c>
      <c r="W1" t="s">
        <v>20</v>
      </c>
      <c r="X1" t="s">
        <v>21</v>
      </c>
      <c r="Y1" t="s">
        <v>22</v>
      </c>
      <c r="Z1" t="s">
        <v>23</v>
      </c>
      <c r="AA1" t="s">
        <v>24</v>
      </c>
      <c r="AB1" t="s">
        <v>25</v>
      </c>
      <c r="AC1" t="s">
        <v>26</v>
      </c>
      <c r="AD1" t="s">
        <v>27</v>
      </c>
      <c r="AE1" t="s">
        <v>28</v>
      </c>
      <c r="AF1" t="s">
        <v>29</v>
      </c>
      <c r="AG1" t="s">
        <v>30</v>
      </c>
      <c r="AH1" t="s">
        <v>31</v>
      </c>
      <c r="AI1" t="s">
        <v>32</v>
      </c>
      <c r="AJ1" t="s">
        <v>33</v>
      </c>
      <c r="AK1" t="s">
        <v>34</v>
      </c>
      <c r="AL1" t="s">
        <v>35</v>
      </c>
      <c r="AM1" t="s">
        <v>36</v>
      </c>
      <c r="AN1" t="s">
        <v>37</v>
      </c>
      <c r="AO1" t="s">
        <v>38</v>
      </c>
      <c r="AP1" t="s">
        <v>39</v>
      </c>
      <c r="AQ1" t="s">
        <v>40</v>
      </c>
      <c r="AR1" t="s">
        <v>41</v>
      </c>
      <c r="AS1" t="s">
        <v>42</v>
      </c>
      <c r="AT1" t="s">
        <v>43</v>
      </c>
      <c r="AU1" t="s">
        <v>44</v>
      </c>
      <c r="AV1" t="s">
        <v>45</v>
      </c>
      <c r="AW1" t="s">
        <v>46</v>
      </c>
    </row>
    <row r="2" spans="1:49" x14ac:dyDescent="0.3">
      <c r="A2" s="3" t="s">
        <v>378</v>
      </c>
      <c r="B2">
        <v>0</v>
      </c>
      <c r="C2" s="1" t="s">
        <v>53</v>
      </c>
      <c r="D2" s="1" t="s">
        <v>48</v>
      </c>
      <c r="E2" s="1" t="s">
        <v>49</v>
      </c>
      <c r="F2" s="1" t="s">
        <v>50</v>
      </c>
      <c r="G2" s="1" t="s">
        <v>51</v>
      </c>
      <c r="H2" s="1" t="s">
        <v>52</v>
      </c>
      <c r="I2" s="1" t="b">
        <v>1</v>
      </c>
      <c r="J2" s="1" t="b">
        <v>1</v>
      </c>
      <c r="K2" t="b" cm="1">
        <f t="array" ref="K2">INDEX(UnitData[IsPlayer], CombatData[[#This Row],[atkBUIndex]])=TRUE</f>
        <v>1</v>
      </c>
      <c r="L2" t="str" cm="1">
        <f t="array" ref="L2">INDEX(UnitData[Class], CombatData[[#This Row],[atkBUIndex]])</f>
        <v>Swordmaster</v>
      </c>
      <c r="M2" cm="1">
        <f t="array" ref="M2">INDEX(UnitData[Level], CombatData[[#This Row],[atkBUIndex]])</f>
        <v>15</v>
      </c>
      <c r="N2" cm="1">
        <f t="array" ref="N2">INDEX(UnitData[MaxHp], CombatData[[#This Row],[atkBUIndex]])</f>
        <v>35</v>
      </c>
      <c r="O2" cm="1">
        <f t="array" ref="O2">INDEX(UnitData[CurHp], CombatData[[#This Row],[atkBUIndex]])</f>
        <v>35</v>
      </c>
      <c r="P2" cm="1">
        <f t="array" ref="P2">INDEX(UnitData[Lck], CombatData[[#This Row],[atkBUIndex]])+INDEX(WeaponData[Lck], CombatData[[#This Row],[atkWpnIndex]])</f>
        <v>15</v>
      </c>
      <c r="Q2" cm="1">
        <f t="array" ref="Q2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f>
        <v>19</v>
      </c>
      <c r="R2" cm="1">
        <f t="array" ref="R2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f>
        <v>102</v>
      </c>
      <c r="S2" cm="1">
        <f t="array" ref="S2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f>
        <v>5</v>
      </c>
      <c r="T2" s="2" cm="1">
        <f t="array" ref="T2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f>
        <v>23</v>
      </c>
      <c r="U2" cm="1">
        <f t="array" ref="U2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f>
        <v>12</v>
      </c>
      <c r="V2" cm="1">
        <f t="array" ref="V2">INDEX(ClassData[SilenceWeakness], CombatData[[#This Row],[atkClsIndex]])</f>
        <v>50</v>
      </c>
      <c r="W2" t="b" cm="1">
        <f t="array" ref="W2">INDEX(WeaponData[IsBrave], CombatData[[#This Row],[atkWpnIndex]])=TRUE</f>
        <v>0</v>
      </c>
      <c r="X2" t="b" cm="1">
        <f t="array" ref="X2">INDEX(WeaponData[healOnHit], CombatData[[#This Row],[atkWpnIndex]])=TRUE</f>
        <v>0</v>
      </c>
      <c r="Y2" t="b" cm="1">
        <f t="array" ref="Y2">INDEX(WeaponData[canDmgSelf], CombatData[[#This Row],[atkWpnIndex]])=TRUE</f>
        <v>0</v>
      </c>
      <c r="Z2" t="b" cm="1">
        <f t="array" ref="Z2">INDEX(UnitData[IsPlayer], CombatData[[#This Row],[defBUIndex]])=TRUE</f>
        <v>0</v>
      </c>
      <c r="AA2" t="str" cm="1">
        <f t="array" ref="AA2">INDEX(UnitData[Class], CombatData[[#This Row],[defBUIndex]])</f>
        <v>Paladin</v>
      </c>
      <c r="AB2" cm="1">
        <f t="array" ref="AB2">INDEX(UnitData[Level], CombatData[[#This Row],[defBUIndex]])</f>
        <v>1</v>
      </c>
      <c r="AC2" cm="1">
        <f t="array" ref="AC2">INDEX(UnitData[MaxHp], CombatData[[#This Row],[defBUIndex]])</f>
        <v>80</v>
      </c>
      <c r="AD2" cm="1">
        <f t="array" ref="AD2">INDEX(UnitData[CurHp], CombatData[[#This Row],[defBUIndex]])</f>
        <v>45</v>
      </c>
      <c r="AE2" cm="1">
        <f t="array" ref="AE2">INDEX(UnitData[Lck], CombatData[[#This Row],[defBUIndex]])+INDEX(WeaponData[Lck], CombatData[[#This Row],[defWpnIndex]])</f>
        <v>7</v>
      </c>
      <c r="AF2" cm="1">
        <f t="array" ref="AF2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f>
        <v>9</v>
      </c>
      <c r="AG2" cm="1">
        <f t="array" ref="AG2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f>
        <v>71</v>
      </c>
      <c r="AH2" cm="1">
        <f t="array" ref="AH2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f>
        <v>-6</v>
      </c>
      <c r="AI2" cm="1">
        <f t="array" ref="AI2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f>
        <v>23</v>
      </c>
      <c r="AJ2" cm="1">
        <f t="array" ref="AJ2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f>
        <v>25</v>
      </c>
      <c r="AK2" cm="1">
        <f t="array" ref="AK2">INDEX(ClassData[SilenceWeakness], CombatData[[#This Row],[defClsIndex]])</f>
        <v>50</v>
      </c>
      <c r="AL2" t="b" cm="1">
        <f t="array" ref="AL2">INDEX(WeaponData[IsBrave], CombatData[[#This Row],[defWpnIndex]])=TRUE</f>
        <v>0</v>
      </c>
      <c r="AM2" t="b" cm="1">
        <f t="array" ref="AM2">INDEX(WeaponData[healOnHit], CombatData[[#This Row],[defWpnIndex]])=TRUE</f>
        <v>0</v>
      </c>
      <c r="AN2" t="b" cm="1">
        <f t="array" ref="AN2">INDEX(WeaponData[canDmgSelf], CombatData[[#This Row],[defWpnIndex]])=TRUE</f>
        <v>0</v>
      </c>
      <c r="AO2">
        <f>MATCH(CombatData[[#This Row],[atkName]], UnitData[Name], 0)</f>
        <v>1</v>
      </c>
      <c r="AP2">
        <f>MATCH(CombatData[[#This Row],[atkCls]],ClassData[Class], 0)</f>
        <v>15</v>
      </c>
      <c r="AQ2">
        <f>IFERROR(MATCH(CombatData[[#This Row],[atkTer]], TerrainData[Terrain], 0),1)</f>
        <v>2</v>
      </c>
      <c r="AR2">
        <f>IFERROR(MATCH(CombatData[[#This Row],[atkWpn]], WeaponData[Weapon], 0), ROWS(WeaponData[Weapon]))</f>
        <v>39</v>
      </c>
      <c r="AS2">
        <f>MATCH(CombatData[[#This Row],[defName]], UnitData[Name], 0)</f>
        <v>2</v>
      </c>
      <c r="AT2">
        <f>MATCH(CombatData[[#This Row],[defCls]],ClassData[Class],0)</f>
        <v>8</v>
      </c>
      <c r="AU2">
        <f>IFERROR(MATCH(CombatData[[#This Row],[defTer]], TerrainData[Terrain], 0),1)</f>
        <v>16</v>
      </c>
      <c r="AV2">
        <f>IFERROR(MATCH(CombatData[[#This Row],[defWpn]], WeaponData[Weapon], 0), ROWS(WeaponData[Weapon]))</f>
        <v>58</v>
      </c>
      <c r="AW2" s="2" cm="1">
        <f t="array" ref="AW2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f>
        <v>0</v>
      </c>
    </row>
    <row r="3" spans="1:49" x14ac:dyDescent="0.3">
      <c r="A3" s="3" t="s">
        <v>379</v>
      </c>
      <c r="B3">
        <v>0</v>
      </c>
      <c r="C3" s="1" t="s">
        <v>53</v>
      </c>
      <c r="D3" s="1" t="s">
        <v>54</v>
      </c>
      <c r="E3" s="1" t="s">
        <v>55</v>
      </c>
      <c r="F3" s="1" t="s">
        <v>56</v>
      </c>
      <c r="G3" s="1" t="s">
        <v>57</v>
      </c>
      <c r="H3" s="1" t="s">
        <v>58</v>
      </c>
      <c r="I3" s="1"/>
      <c r="J3" s="1"/>
      <c r="K3" t="b" cm="1">
        <f t="array" ref="K3">INDEX(UnitData[IsPlayer], CombatData[[#This Row],[atkBUIndex]])=TRUE</f>
        <v>1</v>
      </c>
      <c r="L3" t="str" cm="1">
        <f t="array" ref="L3">INDEX(UnitData[Class], CombatData[[#This Row],[atkBUIndex]])</f>
        <v>Swordmaster</v>
      </c>
      <c r="M3" cm="1">
        <f t="array" ref="M3">INDEX(UnitData[Level], CombatData[[#This Row],[atkBUIndex]])</f>
        <v>15</v>
      </c>
      <c r="N3" cm="1">
        <f t="array" ref="N3">INDEX(UnitData[MaxHp], CombatData[[#This Row],[atkBUIndex]])</f>
        <v>35</v>
      </c>
      <c r="O3" cm="1">
        <f t="array" ref="O3">INDEX(UnitData[CurHp], CombatData[[#This Row],[atkBUIndex]])</f>
        <v>35</v>
      </c>
      <c r="P3" cm="1">
        <f t="array" ref="P3">INDEX(UnitData[Lck], CombatData[[#This Row],[atkBUIndex]])+INDEX(WeaponData[Lck], CombatData[[#This Row],[atkWpnIndex]])</f>
        <v>15</v>
      </c>
      <c r="Q3" cm="1">
        <f t="array" ref="Q3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f>
        <v>25</v>
      </c>
      <c r="R3" cm="1">
        <f t="array" ref="R3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f>
        <v>66</v>
      </c>
      <c r="S3" cm="1">
        <f t="array" ref="S3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f>
        <v>11</v>
      </c>
      <c r="T3" cm="1">
        <f t="array" ref="T3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f>
        <v>27</v>
      </c>
      <c r="U3" cm="1">
        <f t="array" ref="U3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f>
        <v>12</v>
      </c>
      <c r="V3" cm="1">
        <f t="array" ref="V3">INDEX(ClassData[SilenceWeakness], CombatData[[#This Row],[atkClsIndex]])</f>
        <v>50</v>
      </c>
      <c r="W3" t="b" cm="1">
        <f t="array" ref="W3">INDEX(WeaponData[IsBrave], CombatData[[#This Row],[atkWpnIndex]])=TRUE</f>
        <v>0</v>
      </c>
      <c r="X3" t="b" cm="1">
        <f t="array" ref="X3">INDEX(WeaponData[healOnHit], CombatData[[#This Row],[atkWpnIndex]])=TRUE</f>
        <v>0</v>
      </c>
      <c r="Y3" t="b" cm="1">
        <f t="array" ref="Y3">INDEX(WeaponData[canDmgSelf], CombatData[[#This Row],[atkWpnIndex]])=TRUE</f>
        <v>0</v>
      </c>
      <c r="Z3" t="b" cm="1">
        <f t="array" ref="Z3">INDEX(UnitData[IsPlayer], CombatData[[#This Row],[defBUIndex]])=TRUE</f>
        <v>0</v>
      </c>
      <c r="AA3" t="str" cm="1">
        <f t="array" ref="AA3">INDEX(UnitData[Class], CombatData[[#This Row],[defBUIndex]])</f>
        <v>Sniper</v>
      </c>
      <c r="AB3" cm="1">
        <f t="array" ref="AB3">INDEX(UnitData[Level], CombatData[[#This Row],[defBUIndex]])</f>
        <v>6</v>
      </c>
      <c r="AC3" cm="1">
        <f t="array" ref="AC3">INDEX(UnitData[MaxHp], CombatData[[#This Row],[defBUIndex]])</f>
        <v>40</v>
      </c>
      <c r="AD3" cm="1">
        <f t="array" ref="AD3">INDEX(UnitData[CurHp], CombatData[[#This Row],[defBUIndex]])</f>
        <v>30</v>
      </c>
      <c r="AE3" cm="1">
        <f t="array" ref="AE3">INDEX(UnitData[Lck], CombatData[[#This Row],[defBUIndex]])+INDEX(WeaponData[Lck], CombatData[[#This Row],[defWpnIndex]])</f>
        <v>6</v>
      </c>
      <c r="AF3" cm="1">
        <f t="array" ref="AF3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f>
        <v>20</v>
      </c>
      <c r="AG3" cm="1">
        <f t="array" ref="AG3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f>
        <v>53</v>
      </c>
      <c r="AH3" cm="1">
        <f t="array" ref="AH3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f>
        <v>-5</v>
      </c>
      <c r="AI3" cm="1">
        <f t="array" ref="AI3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f>
        <v>28</v>
      </c>
      <c r="AJ3" cm="1">
        <f t="array" ref="AJ3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f>
        <v>18</v>
      </c>
      <c r="AK3" cm="1">
        <f t="array" ref="AK3">INDEX(ClassData[SilenceWeakness], CombatData[[#This Row],[defClsIndex]])</f>
        <v>50</v>
      </c>
      <c r="AL3" t="b" cm="1">
        <f t="array" ref="AL3">INDEX(WeaponData[IsBrave], CombatData[[#This Row],[defWpnIndex]])=TRUE</f>
        <v>0</v>
      </c>
      <c r="AM3" t="b" cm="1">
        <f t="array" ref="AM3">INDEX(WeaponData[healOnHit], CombatData[[#This Row],[defWpnIndex]])=TRUE</f>
        <v>0</v>
      </c>
      <c r="AN3" t="b" cm="1">
        <f t="array" ref="AN3">INDEX(WeaponData[canDmgSelf], CombatData[[#This Row],[defWpnIndex]])=TRUE</f>
        <v>0</v>
      </c>
      <c r="AO3">
        <f>MATCH(CombatData[[#This Row],[atkName]], UnitData[Name], 0)</f>
        <v>1</v>
      </c>
      <c r="AP3">
        <f>MATCH(CombatData[[#This Row],[atkCls]],ClassData[Class], 0)</f>
        <v>15</v>
      </c>
      <c r="AQ3">
        <f>IFERROR(MATCH(CombatData[[#This Row],[atkTer]], TerrainData[Terrain], 0),1)</f>
        <v>4</v>
      </c>
      <c r="AR3">
        <f>IFERROR(MATCH(CombatData[[#This Row],[atkWpn]], WeaponData[Weapon], 0), ROWS(WeaponData[Weapon]))</f>
        <v>4</v>
      </c>
      <c r="AS3">
        <f>MATCH(CombatData[[#This Row],[defName]], UnitData[Name], 0)</f>
        <v>4</v>
      </c>
      <c r="AT3">
        <f>MATCH(CombatData[[#This Row],[defCls]],ClassData[Class],0)</f>
        <v>20</v>
      </c>
      <c r="AU3">
        <f>IFERROR(MATCH(CombatData[[#This Row],[defTer]], TerrainData[Terrain], 0),1)</f>
        <v>10</v>
      </c>
      <c r="AV3">
        <f>IFERROR(MATCH(CombatData[[#This Row],[defWpn]], WeaponData[Weapon], 0), ROWS(WeaponData[Weapon]))</f>
        <v>60</v>
      </c>
      <c r="AW3" cm="1">
        <f t="array" ref="AW3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f>
        <v>0</v>
      </c>
    </row>
    <row r="4" spans="1:49" x14ac:dyDescent="0.3">
      <c r="C4" s="1" t="s">
        <v>56</v>
      </c>
      <c r="D4" s="1" t="s">
        <v>51</v>
      </c>
      <c r="E4" s="1" t="s">
        <v>58</v>
      </c>
      <c r="F4" s="1" t="s">
        <v>47</v>
      </c>
      <c r="G4" s="1" t="s">
        <v>381</v>
      </c>
      <c r="H4" s="1" t="s">
        <v>49</v>
      </c>
      <c r="I4" s="1"/>
      <c r="J4" s="1"/>
      <c r="K4" t="b" cm="1">
        <f t="array" ref="K4">INDEX(UnitData[IsPlayer], CombatData[[#This Row],[atkBUIndex]])=TRUE</f>
        <v>0</v>
      </c>
      <c r="L4" t="str" cm="1">
        <f t="array" ref="L4">INDEX(UnitData[Class], CombatData[[#This Row],[atkBUIndex]])</f>
        <v>Sniper</v>
      </c>
      <c r="M4" cm="1">
        <f t="array" ref="M4">INDEX(UnitData[Level], CombatData[[#This Row],[atkBUIndex]])</f>
        <v>6</v>
      </c>
      <c r="N4" cm="1">
        <f t="array" ref="N4">INDEX(UnitData[MaxHp], CombatData[[#This Row],[atkBUIndex]])</f>
        <v>40</v>
      </c>
      <c r="O4" cm="1">
        <f t="array" ref="O4">INDEX(UnitData[CurHp], CombatData[[#This Row],[atkBUIndex]])</f>
        <v>30</v>
      </c>
      <c r="P4" cm="1">
        <f t="array" ref="P4">INDEX(UnitData[Lck], CombatData[[#This Row],[atkBUIndex]])+INDEX(WeaponData[Lck], CombatData[[#This Row],[atkWpnIndex]])</f>
        <v>6</v>
      </c>
      <c r="Q4" cm="1">
        <f t="array" ref="Q4">_xlfn.LET(_xlpm.spd, INDEX(UnitData[Spd], CombatData[[#This Row],[atkBUIndex]])+INDEX(WeaponData[Spd], CombatData[[#This Row],[atkWpnIndex]]), _xlpm.weightMod, MIN(0,INDEX(UnitData[Con],  CombatData[[#This Row],[atkBUIndex]])-INDEX(WeaponData[Weight], CombatData[[#This Row],[atkWpnIndex]])), MAX(0,_xlpm.spd+_xlpm.weightMod))</f>
        <v>20</v>
      </c>
      <c r="R4" cm="1">
        <f t="array" ref="R4">_xlfn.LET(
_xlpm.Skl, INDEX(UnitData[Skl], CombatData[[#This Row],[atkBUIndex]])+INDEX(WeaponData[Skl], CombatData[[#This Row],[atkWpnIndex]]),
_xlpm.Lck,CombatData[[#This Row],[atkLck]],
_xlpm.wpnHit, INDEX(WeaponData[Hit], CombatData[[#This Row],[atkWpnIndex]]),
_xlpm.rankBonus, IF(INDEX(UnitData[Srank], CombatData[[#This Row],[atkBUIndex]])=INDEX(WeaponData[Category], CombatData[[#This Row],[atkWpnIndex]]), 5, 0),
_xlpm.enemySpd, CombatData[[#This Row],[defSpeed]],
_xlpm.enemyLck, CombatData[[#This Row],[defLck]],
_xlpm.enemyTerMulti,IF( COUNTIF(INDEX(ClassData[[Weakness1]:[Weakness3]], CombatData[[#This Row],[defClsIndex]], 0), "Flying")+COUNTIF(INDEX(ClassData[[Weakness1]:[Weakness3]], CombatData[[#This Row],[defClsIndex]], 0), "Hover") = 1, 0, 1),
_xlpm.enemyTerBonus, _xlpm.enemyTerMulti*INDEX(TerrainData[Avoid], CombatData[[#This Row],[defTerIndex]]),
_xlpm.triBonus, CombatData[[#This Row],[triBonus]],
_xlpm.Skl*2+INT(_xlpm.Lck/2) +_xlpm.wpnHit+_xlpm.rankBonus-_xlpm.enemySpd*2-_xlpm.enemyLck-_xlpm.enemyTerBonus+_xlpm.triBonus*15)</f>
        <v>58</v>
      </c>
      <c r="S4" cm="1">
        <f t="array" ref="S4">IF(INDEX(UnitData[HoplonGuard], CombatData[[#This Row],[defBUIndex]]), 0, IF(INDEX(WeaponData[NoCrit], CombatData[[#This Row],[atkWpnIndex]]), 0, _xlfn.LET(
_xlpm.Skl, INDEX(UnitData[Skl], CombatData[[#This Row],[atkBUIndex]])+INDEX(WeaponData[Skl], CombatData[[#This Row],[atkWpnIndex]]),
_xlpm.Wpn, INDEX(WeaponData[Crit], CombatData[[#This Row],[atkWpnIndex]]),
_xlpm.rankBonus, IF(INDEX(UnitData[Srank], CombatData[[#This Row],[atkBUIndex]])=INDEX(WeaponData[Category], CombatData[[#This Row],[atkWpnIndex]]), 5, 0),
_xlpm.enemyLck, CombatData[[#This Row],[defLck]],
INT(_xlpm.Skl/2)+_xlpm.Wpn+_xlpm.rankBonus-_xlpm.enemyLck)))</f>
        <v>-10</v>
      </c>
      <c r="T4" cm="1">
        <f t="array" ref="T4">IF(CombatData[[#This Row],[atkWpn]]="Terrain",INT(INDEX(TerrainData[Heal Percent], CombatData[[#This Row],[atkTerIndex]])/100*CombatData[[#This Row],[atkMaxHP]]),_xlfn.LET(
    _xlpm.unitS_M, MAX(0,INDEX(UnitData[S/M], CombatData[[#This Row],[atkBUIndex]])+INDEX(WeaponData[S/M], CombatData[[#This Row],[atkWpnIndex]])),
    _xlpm.MagicSword, INDEX(WeaponData[IsRangedMagicSword], CombatData[[#This Row],[atkWpnIndex]]),
    _xlpm.unitDmg, IF(_xlpm.MagicSword, CEILING(_xlpm.unitS_M / 2, 0), _xlpm.unitS_M),
    _xlpm.wpnDmg, INDEX(WeaponData[Might], CombatData[[#This Row],[atkWpnIndex]]) + CombatData[[#This Row],[triBonus]],
    _xlpm.eff, INDEX(WeaponData[[Effective1]:[Effective2]], CombatData[[#This Row],[atkWpnIndex]], 0),
    _xlpm.weak, INDEX(ClassData[[Weakness1]:[Weakness3]], CombatData[[#This Row],[defClsIndex]], 0),
    _xlpm.weakCount, SUM(COUNTIF(_xlpm.eff, _xlpm.weak)),
    _xlpm.defFili, INDEX(UnitData[FiliShield], CombatData[[#This Row],[defBUIndex]]),
    _xlpm.wpnMulti, INDEX(WeaponData[Multiplier], CombatData[[#This Row],[atkWpnIndex]]),
    _xlpm.isWeak, _xlfn.IFS(
        _xlpm.weakCount &gt; 1, TRUE,
        _xlpm.weakCount = 0, FALSE,
        AND(
            COUNTIF(_xlpm.eff, "Flying") = 1,
            COUNTIF(_xlpm.weak, "Flying") = 1,
            _xlpm.defFili = TRUE
        ), FALSE,
        TRUE, TRUE
    ),
    _xlpm.bishopMulti, IF(
        AND(CombatData[[#This Row],[atkCls]] = "Bishop", COUNTIF(_xlpm.weak, "Monster") = 1),
        3,
        1
    ),
    _xlpm.finalMulti, IF(_xlpm.isWeak, _xlpm.wpnMulti, _xlpm.bishopMulti),
    IF(_xlpm.wpnDmg &lt; 0, -_xlpm.unitDmg + _xlpm.wpnDmg * _xlpm.finalMulti, _xlpm.unitDmg+_xlpm.wpnDmg*_xlpm.finalMulti)
))</f>
        <v>33</v>
      </c>
      <c r="U4" cm="1">
        <f t="array" ref="U4">_xlfn.LET(
    _xlpm.isMagic, INDEX(WeaponData[IsMagic], CombatData[[#This Row],[defWpnIndex]]),
    _xlpm.enemyTerMulti, IF(
        COUNTIF(INDEX(ClassData[[Weakness1]:[Weakness3]], CombatData[[#This Row],[atkClsIndex]], 0), "Flying") +
        COUNTIF(INDEX(ClassData[[Weakness1]:[Weakness3]], CombatData[[#This Row],[atkClsIndex]], 0), "Hover") = 1,
        0,
        1
    ),
    _xlpm.def, INDEX(UnitData[Def], CombatData[[#This Row],[atkBUIndex]]) + INDEX(WeaponData[Def], CombatData[[#This Row],[atkWpnIndex]]) +
         _xlpm.enemyTerMulti * INDEX(TerrainData[Def], CombatData[[#This Row],[atkTerIndex]]),
    _xlpm.res, INDEX(UnitData[Res], CombatData[[#This Row],[atkBUIndex]]) + INDEX(WeaponData[Res], CombatData[[#This Row],[atkWpnIndex]]) +
         _xlpm.enemyTerMulti * INDEX(TerrainData[Res], CombatData[[#This Row],[atkTerIndex]]),
    _xlpm.ignores, INDEX(WeaponData[IsPiercing], CombatData[[#This Row],[defWpnIndex]]),
    _xlfn.IFS(_xlpm.ignores, 0, _xlpm.isMagic, _xlpm.res, TRUE, _xlpm.def)
)</f>
        <v>18</v>
      </c>
      <c r="V4" cm="1">
        <f t="array" ref="V4">INDEX(ClassData[SilenceWeakness], CombatData[[#This Row],[atkClsIndex]])</f>
        <v>50</v>
      </c>
      <c r="W4" t="b" cm="1">
        <f t="array" ref="W4">INDEX(WeaponData[IsBrave], CombatData[[#This Row],[atkWpnIndex]])=TRUE</f>
        <v>0</v>
      </c>
      <c r="X4" t="b" cm="1">
        <f t="array" ref="X4">INDEX(WeaponData[healOnHit], CombatData[[#This Row],[atkWpnIndex]])=TRUE</f>
        <v>0</v>
      </c>
      <c r="Y4" t="b" cm="1">
        <f t="array" ref="Y4">INDEX(WeaponData[canDmgSelf], CombatData[[#This Row],[atkWpnIndex]])=TRUE</f>
        <v>0</v>
      </c>
      <c r="Z4" t="b" cm="1">
        <f t="array" ref="Z4">INDEX(UnitData[IsPlayer], CombatData[[#This Row],[defBUIndex]])=TRUE</f>
        <v>1</v>
      </c>
      <c r="AA4" t="str" cm="1">
        <f t="array" ref="AA4">INDEX(UnitData[Class], CombatData[[#This Row],[defBUIndex]])</f>
        <v>Wyvern Knight</v>
      </c>
      <c r="AB4" cm="1">
        <f t="array" ref="AB4">INDEX(UnitData[Level], CombatData[[#This Row],[defBUIndex]])</f>
        <v>10</v>
      </c>
      <c r="AC4" cm="1">
        <f t="array" ref="AC4">INDEX(UnitData[MaxHp], CombatData[[#This Row],[defBUIndex]])</f>
        <v>30</v>
      </c>
      <c r="AD4" cm="1">
        <f t="array" ref="AD4">INDEX(UnitData[CurHp], CombatData[[#This Row],[defBUIndex]])</f>
        <v>30</v>
      </c>
      <c r="AE4" cm="1">
        <f t="array" ref="AE4">INDEX(UnitData[Lck], CombatData[[#This Row],[defBUIndex]])+INDEX(WeaponData[Lck], CombatData[[#This Row],[defWpnIndex]])</f>
        <v>20</v>
      </c>
      <c r="AF4" cm="1">
        <f t="array" ref="AF4">_xlfn.LET(
    _xlpm.spd, INDEX(UnitData[Spd], CombatData[[#This Row],[defBUIndex]]) + INDEX(WeaponData[Spd], CombatData[[#This Row],[defWpnIndex]]),
    _xlpm.weightMod, MIN(0, INDEX(UnitData[Con], CombatData[[#This Row],[defBUIndex]]) - INDEX(WeaponData[Weight], CombatData[[#This Row],[defWpnIndex]])),
    MAX(0, _xlpm.spd + _xlpm.weightMod)
)</f>
        <v>25</v>
      </c>
      <c r="AG4" cm="1">
        <f t="array" ref="AG4">_xlfn.LET(
    _xlpm.Skl, INDEX(UnitData[Skl], CombatData[[#This Row],[defBUIndex]]) + INDEX(WeaponData[Skl], CombatData[[#This Row],[defWpnIndex]]),
    _xlpm.Lck,CombatData[[#This Row],[defLck]],
    _xlpm.wpnHit, INDEX(WeaponData[Hit], CombatData[[#This Row],[defWpnIndex]]),
    _xlpm.rankBonus, IF(INDEX(UnitData[Srank], CombatData[[#This Row],[defBUIndex]]) = INDEX(WeaponData[Category], CombatData[[#This Row],[defWpnIndex]]), 5, 0),
    _xlpm.enemySpd, CombatData[[#This Row],[atkSpeed]],
    _xlpm.enemyLck, CombatData[[#This Row],[atkLck]],
    _xlpm.enemyTerMulti, IF(
        COUNTIF(INDEX(ClassData[[Weakness1]:[Weakness3]], CombatData[[#This Row],[atkClsIndex]], 0), "Flying") +
        COUNTIF(INDEX(ClassData[[Weakness1]:[Weakness3]], CombatData[[#This Row],[atkClsIndex]], 0), "Hover") = 1, 0, 1),
    _xlpm.enemyTerBonus, _xlpm.enemyTerMulti * INDEX(TerrainData[Avoid], CombatData[[#This Row],[atkTerIndex]]),
    _xlpm.triBonus, -CombatData[[#This Row],[triBonus]],
    _xlpm.Skl * 2 + INT(_xlpm.Lck / 2) + _xlpm.wpnHit + _xlpm.rankBonus - _xlpm.enemySpd * 2 - _xlpm.enemyLck - _xlpm.enemyTerBonus + _xlpm.triBonus * 15
)</f>
        <v>-1022</v>
      </c>
      <c r="AH4" cm="1">
        <f t="array" ref="AH4">IF(INDEX(UnitData[HoplonGuard], CombatData[[#This Row],[defBUIndex]]), 0,IF(
    INDEX(WeaponData[NoCrit], CombatData[[#This Row],[defWpnIndex]]),
    0,
    _xlfn.LET(
        _xlpm.Skl, INDEX(UnitData[Skl], CombatData[[#This Row],[defBUIndex]]) + INDEX(WeaponData[Skl], CombatData[[#This Row],[defWpnIndex]]),
        _xlpm.Wpn, INDEX(WeaponData[Crit], CombatData[[#This Row],[defWpnIndex]]),
        _xlpm.rankBonus, IF(INDEX(UnitData[Srank], CombatData[[#This Row],[defBUIndex]]) = INDEX(WeaponData[Category], CombatData[[#This Row],[defWpnIndex]]), 5, 0),
        _xlpm.enemyLck, CombatData[[#This Row],[atkLck]],
        INT(_xlpm.Skl / 2) + _xlpm.Wpn + _xlpm.rankBonus - _xlpm.enemyLck
    )
))</f>
        <v>5</v>
      </c>
      <c r="AI4" cm="1">
        <f t="array" ref="AI4">IF(CombatData[[#This Row],[defWpn]]="Terrain", INT(INDEX(TerrainData[Heal Percent], CombatData[[#This Row],[defTerIndex]])/100*CombatData[[#This Row],[defMaxHP]]),_xlfn.LET(
    _xlpm.unitS_M, MAX(0, INDEX(UnitData[S/M], CombatData[[#This Row],[defBUIndex]]) + INDEX(WeaponData[S/M], CombatData[[#This Row],[defWpnIndex]])),
    _xlpm.MagicSword, INDEX(WeaponData[IsRangedMagicSword], CombatData[[#This Row],[defWpnIndex]]),
    _xlpm.unitDmg, IF(_xlpm.MagicSword, CEILING(_xlpm.unitS_M / 2, 0), _xlpm.unitS_M),
    _xlpm.wpnDmg, INDEX(WeaponData[Might], CombatData[[#This Row],[defWpnIndex]]) - CombatData[[#This Row],[triBonus]],
    _xlpm.eff, INDEX(WeaponData[[Effective1]:[Effective2]], CombatData[[#This Row],[defWpnIndex]], 0),
    _xlpm.weak, INDEX(ClassData[[Weakness1]:[Weakness3]], CombatData[[#This Row],[atkClsIndex]], 0),
    _xlpm.weakCount, SUM(COUNTIF(_xlpm.eff, _xlpm.weak)),
    _xlpm.atkFili, INDEX(UnitData[FiliShield], CombatData[[#This Row],[atkBUIndex]]),
    _xlpm.wpnMulti, INDEX(WeaponData[Multiplier], CombatData[[#This Row],[defWpnIndex]]),
    _xlpm.isWeak, _xlfn.IFS(
        _xlpm.weakCount &gt; 1, TRUE,
        _xlpm.weakCount = 0, FALSE,
        AND(
            COUNTIF(_xlpm.eff, "Flying") = 1,
            COUNTIF(_xlpm.weak, "Flying") = 1,
            _xlpm.atkFili = TRUE
        ), FALSE,
        TRUE, TRUE
    ),
    _xlpm.bishopMulti, IF(
        AND(CombatData[[#This Row],[defCls]] = "Bishop", COUNTIF(_xlpm.weak, "Monster") = 1),
        3,
        1
    ),
    _xlpm.finalMulti, IF(_xlpm.isWeak, _xlpm.wpnMulti, _xlpm.bishopMulti),
    IF(
        _xlpm.wpnDmg &lt; 0,
        -_xlpm.unitDmg + _xlpm.wpnDmg * _xlpm.finalMulti,
        _xlpm.unitDmg + _xlpm.wpnDmg * _xlpm.finalMulti
    )
))</f>
        <v>0</v>
      </c>
      <c r="AJ4" cm="1">
        <f t="array" ref="AJ4">_xlfn.LET(_xlpm.isMagic, INDEX(WeaponData[IsMagic], CombatData[[#This Row],[atkWpnIndex]]),_xlpm.enemyTerMulti,IF( COUNTIF(INDEX(ClassData[[Weakness1]:[Weakness3]], CombatData[[#This Row],[defClsIndex]], 0), "Flying")+COUNTIF(INDEX(ClassData[[Weakness1]:[Weakness3]], CombatData[[#This Row],[defClsIndex]], 0), "Hover") = 1, 0, 1), _xlpm.def, INDEX(UnitData[Def], CombatData[[#This Row],[defBUIndex]])+INDEX(WeaponData[Def], CombatData[[#This Row],[defWpnIndex]])+_xlpm.enemyTerMulti*INDEX(TerrainData[Def], CombatData[[#This Row],[defTerIndex]]), _xlpm.res,INDEX(UnitData[Res], CombatData[[#This Row],[defBUIndex]])+INDEX(WeaponData[Res], CombatData[[#This Row],[defWpnIndex]])+_xlpm.enemyTerMulti*INDEX(TerrainData[Res], CombatData[[#This Row],[defTerIndex]]), _xlpm.ignores, INDEX(WeaponData[IsPiercing], CombatData[[#This Row],[atkWpnIndex]]), _xlfn.IFS(_xlpm.ignores, 0, _xlpm.isMagic, _xlpm.res, TRUE, _xlpm.def))</f>
        <v>14</v>
      </c>
      <c r="AK4" cm="1">
        <f t="array" ref="AK4">INDEX(ClassData[SilenceWeakness], CombatData[[#This Row],[defClsIndex]])</f>
        <v>50</v>
      </c>
      <c r="AL4" t="b" cm="1">
        <f t="array" ref="AL4">INDEX(WeaponData[IsBrave], CombatData[[#This Row],[defWpnIndex]])=TRUE</f>
        <v>0</v>
      </c>
      <c r="AM4" t="b" cm="1">
        <f t="array" ref="AM4">INDEX(WeaponData[healOnHit], CombatData[[#This Row],[defWpnIndex]])=TRUE</f>
        <v>0</v>
      </c>
      <c r="AN4" t="b" cm="1">
        <f t="array" ref="AN4">INDEX(WeaponData[canDmgSelf], CombatData[[#This Row],[defWpnIndex]])=TRUE</f>
        <v>0</v>
      </c>
      <c r="AO4">
        <f>MATCH(CombatData[[#This Row],[atkName]], UnitData[Name], 0)</f>
        <v>4</v>
      </c>
      <c r="AP4">
        <f>MATCH(CombatData[[#This Row],[atkCls]],ClassData[Class], 0)</f>
        <v>20</v>
      </c>
      <c r="AQ4">
        <f>IFERROR(MATCH(CombatData[[#This Row],[atkTer]], TerrainData[Terrain], 0),1)</f>
        <v>10</v>
      </c>
      <c r="AR4">
        <f>IFERROR(MATCH(CombatData[[#This Row],[atkWpn]], WeaponData[Weapon], 0), ROWS(WeaponData[Weapon]))</f>
        <v>58</v>
      </c>
      <c r="AS4">
        <f>MATCH(CombatData[[#This Row],[defName]], UnitData[Name], 0)</f>
        <v>3</v>
      </c>
      <c r="AT4">
        <f>MATCH(CombatData[[#This Row],[defCls]],ClassData[Class],0)</f>
        <v>24</v>
      </c>
      <c r="AU4">
        <f>IFERROR(MATCH(CombatData[[#This Row],[defTer]], TerrainData[Terrain], 0),1)</f>
        <v>2</v>
      </c>
      <c r="AV4">
        <f>IFERROR(MATCH(CombatData[[#This Row],[defWpn]], WeaponData[Weapon], 0), ROWS(WeaponData[Weapon]))</f>
        <v>113</v>
      </c>
      <c r="AW4" cm="1">
        <f t="array" ref="AW4">_xlfn.LET(_xlpm.triIndex, MATCH(INDEX(WeaponData[Triangle], CombatData[[#This Row],[atkWpnIndex]]), WeaponTriangleRules[Triangle], 0), _xlpm.defWpnTri, INDEX(WeaponData[Triangle], CombatData[[#This Row],[defWpnIndex]]), _xlpm.WTA, INDEX(WeaponTriangleRules[WTA Against], _xlpm.triIndex), _xlpm.WTD, INDEX(WeaponTriangleRules[WTD Against], _xlpm.triIndex), _xlpm.atkReav, INDEX(WeaponData[IsReaver],CombatData[[#This Row],[atkWpnIndex]]), _xlpm.defReav, INDEX(WeaponData[IsReaver], CombatData[[#This Row],[defWpnIndex]]), _xlpm.multiReav, IF(_xlpm.atkReav, IF(_xlpm.defReav, 1, -2), IF(_xlpm.defReav, -2, 1)), _xlpm.triBonus, _xlfn.IFS(_xlpm.WTA=_xlpm.defWpnTri, 1, _xlpm.WTD=_xlpm.defWpnTri, -1, TRUE, 0), IFERROR(_xlpm.triBonus*_xlpm.multiReav, 0))</f>
        <v>0</v>
      </c>
    </row>
    <row r="22" spans="1:17" x14ac:dyDescent="0.3">
      <c r="A22" t="s">
        <v>63</v>
      </c>
      <c r="B22" t="s">
        <v>64</v>
      </c>
      <c r="C22" t="s">
        <v>65</v>
      </c>
      <c r="D22" t="s">
        <v>66</v>
      </c>
      <c r="E22" t="s">
        <v>67</v>
      </c>
      <c r="F22" t="s">
        <v>68</v>
      </c>
      <c r="G22" t="s">
        <v>69</v>
      </c>
      <c r="H22" t="s">
        <v>60</v>
      </c>
      <c r="I22" t="s">
        <v>70</v>
      </c>
      <c r="J22" t="s">
        <v>71</v>
      </c>
      <c r="K22" t="s">
        <v>72</v>
      </c>
      <c r="L22" t="s">
        <v>73</v>
      </c>
      <c r="M22" t="s">
        <v>74</v>
      </c>
      <c r="N22" t="s">
        <v>75</v>
      </c>
      <c r="O22" t="s">
        <v>76</v>
      </c>
      <c r="P22" t="s">
        <v>384</v>
      </c>
      <c r="Q22" t="s">
        <v>376</v>
      </c>
    </row>
    <row r="23" spans="1:17" x14ac:dyDescent="0.3">
      <c r="A23" s="1" t="s">
        <v>53</v>
      </c>
      <c r="B23" s="1" t="s">
        <v>77</v>
      </c>
      <c r="C23" s="1">
        <v>15</v>
      </c>
      <c r="D23" s="1">
        <v>35</v>
      </c>
      <c r="E23" s="1">
        <v>35</v>
      </c>
      <c r="F23" s="1">
        <v>14</v>
      </c>
      <c r="G23" s="1">
        <v>25</v>
      </c>
      <c r="H23" s="1">
        <v>25</v>
      </c>
      <c r="I23" s="1">
        <v>15</v>
      </c>
      <c r="J23" s="1">
        <v>12</v>
      </c>
      <c r="K23" s="1">
        <v>9</v>
      </c>
      <c r="L23" s="1">
        <v>8</v>
      </c>
      <c r="M23" s="1" t="s">
        <v>78</v>
      </c>
      <c r="N23" s="1"/>
      <c r="O23" s="1"/>
      <c r="P23" s="1" t="b">
        <v>1</v>
      </c>
      <c r="Q23" s="1"/>
    </row>
    <row r="24" spans="1:17" x14ac:dyDescent="0.3">
      <c r="A24" s="1" t="s">
        <v>50</v>
      </c>
      <c r="B24" s="1" t="s">
        <v>79</v>
      </c>
      <c r="C24" s="1">
        <v>1</v>
      </c>
      <c r="D24" s="1">
        <v>80</v>
      </c>
      <c r="E24" s="1">
        <v>45</v>
      </c>
      <c r="F24" s="1">
        <v>17</v>
      </c>
      <c r="G24" s="1">
        <v>18</v>
      </c>
      <c r="H24" s="1">
        <v>9</v>
      </c>
      <c r="I24" s="1">
        <v>7</v>
      </c>
      <c r="J24" s="1">
        <v>25</v>
      </c>
      <c r="K24" s="1">
        <v>15</v>
      </c>
      <c r="L24" s="1">
        <v>17</v>
      </c>
      <c r="M24" s="1"/>
      <c r="N24" s="1"/>
      <c r="O24" s="1"/>
      <c r="P24" s="1"/>
      <c r="Q24" s="1"/>
    </row>
    <row r="25" spans="1:17" x14ac:dyDescent="0.3">
      <c r="A25" s="1" t="s">
        <v>47</v>
      </c>
      <c r="B25" s="1" t="s">
        <v>81</v>
      </c>
      <c r="C25" s="1">
        <v>10</v>
      </c>
      <c r="D25" s="1">
        <v>30</v>
      </c>
      <c r="E25" s="1">
        <v>30</v>
      </c>
      <c r="F25" s="1">
        <v>12</v>
      </c>
      <c r="G25" s="1">
        <v>22</v>
      </c>
      <c r="H25" s="1">
        <v>25</v>
      </c>
      <c r="I25" s="1">
        <v>20</v>
      </c>
      <c r="J25" s="1">
        <v>14</v>
      </c>
      <c r="K25" s="1">
        <v>10</v>
      </c>
      <c r="L25" s="1">
        <v>1</v>
      </c>
      <c r="M25" s="1"/>
      <c r="N25" s="1"/>
      <c r="O25" s="1"/>
      <c r="P25" s="1" t="b">
        <v>1</v>
      </c>
      <c r="Q25" s="1"/>
    </row>
    <row r="26" spans="1:17" x14ac:dyDescent="0.3">
      <c r="A26" s="1" t="s">
        <v>56</v>
      </c>
      <c r="B26" s="1" t="s">
        <v>82</v>
      </c>
      <c r="C26" s="1">
        <v>6</v>
      </c>
      <c r="D26" s="1">
        <v>40</v>
      </c>
      <c r="E26" s="1">
        <v>30</v>
      </c>
      <c r="F26" s="1">
        <v>15</v>
      </c>
      <c r="G26" s="1">
        <v>20</v>
      </c>
      <c r="H26" s="1">
        <v>20</v>
      </c>
      <c r="I26" s="1">
        <v>6</v>
      </c>
      <c r="J26" s="1">
        <v>15</v>
      </c>
      <c r="K26" s="1">
        <v>8</v>
      </c>
      <c r="L26" s="1">
        <v>10</v>
      </c>
      <c r="M26" s="1"/>
      <c r="N26" s="1"/>
      <c r="O26" s="1"/>
      <c r="P26" s="1"/>
      <c r="Q26" s="1"/>
    </row>
    <row r="100" spans="1:41" x14ac:dyDescent="0.3">
      <c r="A100" t="s">
        <v>64</v>
      </c>
      <c r="B100" t="s">
        <v>84</v>
      </c>
      <c r="C100" t="s">
        <v>85</v>
      </c>
      <c r="D100" t="s">
        <v>86</v>
      </c>
      <c r="E100" t="s">
        <v>87</v>
      </c>
      <c r="F100" t="s">
        <v>88</v>
      </c>
      <c r="G100" t="s">
        <v>89</v>
      </c>
      <c r="H100" t="s">
        <v>90</v>
      </c>
      <c r="I100" t="s">
        <v>91</v>
      </c>
      <c r="J100" t="s">
        <v>92</v>
      </c>
      <c r="L100" t="s">
        <v>93</v>
      </c>
      <c r="M100" t="s">
        <v>94</v>
      </c>
      <c r="N100" t="s">
        <v>95</v>
      </c>
      <c r="O100" t="s">
        <v>96</v>
      </c>
      <c r="P100" t="s">
        <v>97</v>
      </c>
      <c r="Q100" t="s">
        <v>61</v>
      </c>
      <c r="R100" t="s">
        <v>62</v>
      </c>
      <c r="S100" t="s">
        <v>68</v>
      </c>
      <c r="T100" t="s">
        <v>69</v>
      </c>
      <c r="U100" t="s">
        <v>60</v>
      </c>
      <c r="V100" t="s">
        <v>70</v>
      </c>
      <c r="W100" t="s">
        <v>71</v>
      </c>
      <c r="X100" t="s">
        <v>72</v>
      </c>
      <c r="Y100" t="s">
        <v>98</v>
      </c>
      <c r="Z100" t="s">
        <v>99</v>
      </c>
      <c r="AA100" t="s">
        <v>100</v>
      </c>
      <c r="AB100" t="s">
        <v>101</v>
      </c>
      <c r="AC100" t="s">
        <v>102</v>
      </c>
      <c r="AD100" t="s">
        <v>103</v>
      </c>
      <c r="AE100" t="s">
        <v>104</v>
      </c>
      <c r="AF100" t="s">
        <v>105</v>
      </c>
      <c r="AG100" t="s">
        <v>106</v>
      </c>
      <c r="AH100" t="s">
        <v>107</v>
      </c>
      <c r="AI100" t="s">
        <v>108</v>
      </c>
      <c r="AJ100" t="s">
        <v>109</v>
      </c>
      <c r="AK100" t="s">
        <v>110</v>
      </c>
      <c r="AL100" t="s">
        <v>111</v>
      </c>
      <c r="AM100" t="s">
        <v>112</v>
      </c>
      <c r="AN100" t="s">
        <v>113</v>
      </c>
      <c r="AO100" t="s">
        <v>114</v>
      </c>
    </row>
    <row r="101" spans="1:41" x14ac:dyDescent="0.3">
      <c r="A101" t="s">
        <v>115</v>
      </c>
      <c r="F101">
        <v>50</v>
      </c>
      <c r="H101" t="s">
        <v>78</v>
      </c>
      <c r="L101" t="s">
        <v>116</v>
      </c>
      <c r="M101" t="s">
        <v>78</v>
      </c>
      <c r="N101" t="s">
        <v>78</v>
      </c>
      <c r="O101">
        <v>5</v>
      </c>
      <c r="P101">
        <v>5</v>
      </c>
      <c r="Q101">
        <v>90</v>
      </c>
      <c r="AG101">
        <v>1</v>
      </c>
      <c r="AH101">
        <v>1</v>
      </c>
      <c r="AI101" t="s">
        <v>117</v>
      </c>
    </row>
    <row r="102" spans="1:41" x14ac:dyDescent="0.3">
      <c r="A102" t="s">
        <v>118</v>
      </c>
      <c r="F102">
        <v>50</v>
      </c>
      <c r="H102" t="s">
        <v>80</v>
      </c>
      <c r="L102" t="s">
        <v>119</v>
      </c>
      <c r="M102" t="s">
        <v>78</v>
      </c>
      <c r="N102" t="s">
        <v>78</v>
      </c>
      <c r="O102">
        <v>2</v>
      </c>
      <c r="P102">
        <v>3</v>
      </c>
      <c r="Q102">
        <v>100</v>
      </c>
      <c r="R102">
        <v>5</v>
      </c>
      <c r="AG102">
        <v>1</v>
      </c>
      <c r="AH102">
        <v>1</v>
      </c>
      <c r="AI102" t="s">
        <v>117</v>
      </c>
    </row>
    <row r="103" spans="1:41" x14ac:dyDescent="0.3">
      <c r="A103" t="s">
        <v>120</v>
      </c>
      <c r="B103" t="s">
        <v>121</v>
      </c>
      <c r="F103">
        <v>50</v>
      </c>
      <c r="H103" t="s">
        <v>78</v>
      </c>
      <c r="L103" t="s">
        <v>122</v>
      </c>
      <c r="M103" t="s">
        <v>78</v>
      </c>
      <c r="N103" t="s">
        <v>78</v>
      </c>
      <c r="O103">
        <v>10</v>
      </c>
      <c r="P103">
        <v>8</v>
      </c>
      <c r="Q103">
        <v>75</v>
      </c>
      <c r="AG103">
        <v>1</v>
      </c>
      <c r="AH103">
        <v>1</v>
      </c>
      <c r="AI103" t="s">
        <v>123</v>
      </c>
    </row>
    <row r="104" spans="1:41" x14ac:dyDescent="0.3">
      <c r="A104" t="s">
        <v>124</v>
      </c>
      <c r="B104" t="s">
        <v>121</v>
      </c>
      <c r="F104">
        <v>50</v>
      </c>
      <c r="H104" t="s">
        <v>80</v>
      </c>
      <c r="L104" t="s">
        <v>54</v>
      </c>
      <c r="M104" t="s">
        <v>78</v>
      </c>
      <c r="N104" t="s">
        <v>78</v>
      </c>
      <c r="O104">
        <v>8</v>
      </c>
      <c r="P104">
        <v>13</v>
      </c>
      <c r="Q104">
        <v>80</v>
      </c>
      <c r="AG104">
        <v>1</v>
      </c>
      <c r="AH104">
        <v>1</v>
      </c>
      <c r="AI104" t="s">
        <v>125</v>
      </c>
    </row>
    <row r="105" spans="1:41" x14ac:dyDescent="0.3">
      <c r="A105" t="s">
        <v>126</v>
      </c>
      <c r="F105">
        <v>50</v>
      </c>
      <c r="L105" t="s">
        <v>127</v>
      </c>
      <c r="M105" t="s">
        <v>78</v>
      </c>
      <c r="N105" t="s">
        <v>78</v>
      </c>
      <c r="O105">
        <v>12</v>
      </c>
      <c r="P105">
        <v>9</v>
      </c>
      <c r="Q105">
        <v>70</v>
      </c>
      <c r="AG105">
        <v>1</v>
      </c>
      <c r="AH105">
        <v>1</v>
      </c>
      <c r="AI105" t="s">
        <v>123</v>
      </c>
    </row>
    <row r="106" spans="1:41" x14ac:dyDescent="0.3">
      <c r="A106" t="s">
        <v>128</v>
      </c>
      <c r="F106">
        <v>50</v>
      </c>
      <c r="H106" t="s">
        <v>80</v>
      </c>
      <c r="L106" t="s">
        <v>129</v>
      </c>
      <c r="M106" t="s">
        <v>78</v>
      </c>
      <c r="N106" t="s">
        <v>78</v>
      </c>
      <c r="O106">
        <v>14</v>
      </c>
      <c r="P106">
        <v>11</v>
      </c>
      <c r="Q106">
        <v>65</v>
      </c>
      <c r="AG106">
        <v>1</v>
      </c>
      <c r="AH106">
        <v>1</v>
      </c>
      <c r="AI106" t="s">
        <v>130</v>
      </c>
    </row>
    <row r="107" spans="1:41" x14ac:dyDescent="0.3">
      <c r="A107" t="s">
        <v>131</v>
      </c>
      <c r="B107" t="s">
        <v>121</v>
      </c>
      <c r="F107">
        <v>50</v>
      </c>
      <c r="H107" t="s">
        <v>78</v>
      </c>
      <c r="I107" t="s">
        <v>80</v>
      </c>
      <c r="L107" t="s">
        <v>132</v>
      </c>
      <c r="M107" t="s">
        <v>78</v>
      </c>
      <c r="N107" t="s">
        <v>78</v>
      </c>
      <c r="O107">
        <v>13</v>
      </c>
      <c r="P107">
        <v>14</v>
      </c>
      <c r="Q107">
        <v>60</v>
      </c>
      <c r="AG107">
        <v>1</v>
      </c>
      <c r="AH107">
        <v>1</v>
      </c>
      <c r="AI107" t="s">
        <v>125</v>
      </c>
    </row>
    <row r="108" spans="1:41" x14ac:dyDescent="0.3">
      <c r="A108" t="s">
        <v>79</v>
      </c>
      <c r="B108" t="s">
        <v>121</v>
      </c>
      <c r="F108">
        <v>50</v>
      </c>
      <c r="H108" t="s">
        <v>78</v>
      </c>
      <c r="I108" t="s">
        <v>80</v>
      </c>
      <c r="L108" t="s">
        <v>133</v>
      </c>
      <c r="M108" t="s">
        <v>78</v>
      </c>
      <c r="N108" t="s">
        <v>78</v>
      </c>
      <c r="O108">
        <v>6</v>
      </c>
      <c r="P108">
        <v>3</v>
      </c>
      <c r="Q108">
        <v>70</v>
      </c>
      <c r="AG108">
        <v>1</v>
      </c>
      <c r="AH108">
        <v>1</v>
      </c>
      <c r="AI108" t="s">
        <v>123</v>
      </c>
    </row>
    <row r="109" spans="1:41" x14ac:dyDescent="0.3">
      <c r="A109" t="s">
        <v>134</v>
      </c>
      <c r="B109" t="s">
        <v>121</v>
      </c>
      <c r="C109" t="s">
        <v>135</v>
      </c>
      <c r="F109">
        <v>50</v>
      </c>
      <c r="H109" t="s">
        <v>78</v>
      </c>
      <c r="I109" t="s">
        <v>80</v>
      </c>
      <c r="J109" t="s">
        <v>136</v>
      </c>
      <c r="L109" t="s">
        <v>137</v>
      </c>
      <c r="M109" t="s">
        <v>78</v>
      </c>
      <c r="N109" t="s">
        <v>78</v>
      </c>
      <c r="O109">
        <v>5</v>
      </c>
      <c r="P109">
        <v>7</v>
      </c>
      <c r="Q109">
        <v>95</v>
      </c>
      <c r="R109">
        <v>10</v>
      </c>
      <c r="Y109" t="s">
        <v>121</v>
      </c>
      <c r="Z109" t="s">
        <v>135</v>
      </c>
      <c r="AA109">
        <v>3</v>
      </c>
      <c r="AG109">
        <v>1</v>
      </c>
      <c r="AH109">
        <v>1</v>
      </c>
      <c r="AI109" t="s">
        <v>110</v>
      </c>
      <c r="AK109" t="s">
        <v>138</v>
      </c>
    </row>
    <row r="110" spans="1:41" x14ac:dyDescent="0.3">
      <c r="A110" t="s">
        <v>139</v>
      </c>
      <c r="B110" t="s">
        <v>135</v>
      </c>
      <c r="F110">
        <v>50</v>
      </c>
      <c r="H110" t="s">
        <v>80</v>
      </c>
      <c r="L110" t="s">
        <v>140</v>
      </c>
      <c r="M110" t="s">
        <v>78</v>
      </c>
      <c r="N110" t="s">
        <v>78</v>
      </c>
      <c r="O110">
        <v>12</v>
      </c>
      <c r="P110">
        <v>9</v>
      </c>
      <c r="Q110">
        <v>75</v>
      </c>
      <c r="AC110" t="b">
        <v>1</v>
      </c>
      <c r="AG110">
        <v>1</v>
      </c>
      <c r="AH110">
        <v>1</v>
      </c>
      <c r="AI110" t="s">
        <v>141</v>
      </c>
    </row>
    <row r="111" spans="1:41" x14ac:dyDescent="0.3">
      <c r="A111" t="s">
        <v>142</v>
      </c>
      <c r="B111" t="s">
        <v>135</v>
      </c>
      <c r="F111">
        <v>50</v>
      </c>
      <c r="G111" t="s">
        <v>143</v>
      </c>
      <c r="H111" t="s">
        <v>78</v>
      </c>
      <c r="I111" t="s">
        <v>80</v>
      </c>
      <c r="J111" t="s">
        <v>136</v>
      </c>
      <c r="L111" t="s">
        <v>144</v>
      </c>
      <c r="M111" t="s">
        <v>78</v>
      </c>
      <c r="N111" t="s">
        <v>78</v>
      </c>
      <c r="O111">
        <v>5</v>
      </c>
      <c r="P111">
        <v>8</v>
      </c>
      <c r="Q111">
        <v>75</v>
      </c>
      <c r="R111">
        <v>35</v>
      </c>
      <c r="AG111">
        <v>1</v>
      </c>
      <c r="AH111">
        <v>1</v>
      </c>
      <c r="AI111" t="s">
        <v>123</v>
      </c>
    </row>
    <row r="112" spans="1:41" x14ac:dyDescent="0.3">
      <c r="A112" t="s">
        <v>145</v>
      </c>
      <c r="B112" t="s">
        <v>78</v>
      </c>
      <c r="F112">
        <v>50</v>
      </c>
      <c r="H112" t="s">
        <v>78</v>
      </c>
      <c r="L112" t="s">
        <v>146</v>
      </c>
      <c r="M112" t="s">
        <v>78</v>
      </c>
      <c r="N112" t="s">
        <v>78</v>
      </c>
      <c r="O112">
        <v>7</v>
      </c>
      <c r="P112">
        <v>9</v>
      </c>
      <c r="Q112">
        <v>75</v>
      </c>
      <c r="R112">
        <v>30</v>
      </c>
      <c r="AG112">
        <v>1</v>
      </c>
      <c r="AH112">
        <v>1</v>
      </c>
      <c r="AI112" t="s">
        <v>130</v>
      </c>
    </row>
    <row r="113" spans="1:41" x14ac:dyDescent="0.3">
      <c r="A113" t="s">
        <v>147</v>
      </c>
      <c r="B113" t="s">
        <v>78</v>
      </c>
      <c r="F113">
        <v>50</v>
      </c>
      <c r="H113" t="s">
        <v>78</v>
      </c>
      <c r="I113" t="s">
        <v>136</v>
      </c>
      <c r="L113" t="s">
        <v>148</v>
      </c>
      <c r="M113" t="s">
        <v>78</v>
      </c>
      <c r="N113" t="s">
        <v>78</v>
      </c>
      <c r="O113">
        <v>11</v>
      </c>
      <c r="P113">
        <v>8</v>
      </c>
      <c r="Q113">
        <v>80</v>
      </c>
      <c r="Y113" t="s">
        <v>135</v>
      </c>
      <c r="AA113">
        <v>3</v>
      </c>
      <c r="AG113">
        <v>1</v>
      </c>
      <c r="AH113">
        <v>1</v>
      </c>
      <c r="AI113" t="s">
        <v>123</v>
      </c>
    </row>
    <row r="114" spans="1:41" x14ac:dyDescent="0.3">
      <c r="A114" t="s">
        <v>149</v>
      </c>
      <c r="B114" t="s">
        <v>78</v>
      </c>
      <c r="F114">
        <v>50</v>
      </c>
      <c r="H114" t="s">
        <v>78</v>
      </c>
      <c r="L114" t="s">
        <v>150</v>
      </c>
      <c r="M114" t="s">
        <v>78</v>
      </c>
      <c r="N114" t="s">
        <v>78</v>
      </c>
      <c r="O114">
        <v>5</v>
      </c>
      <c r="P114">
        <v>8</v>
      </c>
      <c r="Q114">
        <v>75</v>
      </c>
      <c r="Y114" t="s">
        <v>151</v>
      </c>
      <c r="AA114">
        <v>3</v>
      </c>
      <c r="AG114">
        <v>1</v>
      </c>
      <c r="AH114">
        <v>1</v>
      </c>
      <c r="AI114" t="s">
        <v>130</v>
      </c>
    </row>
    <row r="115" spans="1:41" x14ac:dyDescent="0.3">
      <c r="A115" t="s">
        <v>77</v>
      </c>
      <c r="B115" t="s">
        <v>78</v>
      </c>
      <c r="E115">
        <v>15</v>
      </c>
      <c r="F115">
        <v>50</v>
      </c>
      <c r="H115" t="s">
        <v>78</v>
      </c>
      <c r="L115" t="s">
        <v>152</v>
      </c>
      <c r="M115" t="s">
        <v>78</v>
      </c>
      <c r="N115" t="s">
        <v>78</v>
      </c>
      <c r="O115">
        <v>9</v>
      </c>
      <c r="P115">
        <v>9</v>
      </c>
      <c r="Q115">
        <v>75</v>
      </c>
      <c r="R115">
        <v>5</v>
      </c>
      <c r="AB115" t="b">
        <v>1</v>
      </c>
      <c r="AG115">
        <v>1</v>
      </c>
      <c r="AH115">
        <v>1</v>
      </c>
      <c r="AI115" t="s">
        <v>130</v>
      </c>
    </row>
    <row r="116" spans="1:41" x14ac:dyDescent="0.3">
      <c r="A116" t="s">
        <v>153</v>
      </c>
      <c r="F116">
        <v>50</v>
      </c>
      <c r="G116" t="s">
        <v>154</v>
      </c>
      <c r="H116" t="s">
        <v>78</v>
      </c>
      <c r="L116" t="s">
        <v>155</v>
      </c>
      <c r="M116" t="s">
        <v>78</v>
      </c>
      <c r="N116" t="s">
        <v>78</v>
      </c>
      <c r="O116">
        <v>11</v>
      </c>
      <c r="P116">
        <v>6</v>
      </c>
      <c r="Q116">
        <v>85</v>
      </c>
      <c r="Y116" t="s">
        <v>121</v>
      </c>
      <c r="AA116">
        <v>3</v>
      </c>
      <c r="AG116">
        <v>1</v>
      </c>
      <c r="AH116">
        <v>1</v>
      </c>
      <c r="AI116" t="s">
        <v>123</v>
      </c>
    </row>
    <row r="117" spans="1:41" x14ac:dyDescent="0.3">
      <c r="A117" t="s">
        <v>156</v>
      </c>
      <c r="F117">
        <v>50</v>
      </c>
      <c r="H117" t="s">
        <v>78</v>
      </c>
      <c r="L117" t="s">
        <v>157</v>
      </c>
      <c r="M117" t="s">
        <v>78</v>
      </c>
      <c r="N117" t="s">
        <v>78</v>
      </c>
      <c r="O117">
        <v>9</v>
      </c>
      <c r="P117">
        <v>16</v>
      </c>
      <c r="Q117">
        <v>90</v>
      </c>
      <c r="S117">
        <v>5</v>
      </c>
      <c r="Y117" t="s">
        <v>158</v>
      </c>
      <c r="AA117">
        <v>2</v>
      </c>
      <c r="AG117">
        <v>1</v>
      </c>
      <c r="AH117">
        <v>1</v>
      </c>
      <c r="AI117" t="s">
        <v>110</v>
      </c>
      <c r="AK117" t="s">
        <v>138</v>
      </c>
    </row>
    <row r="118" spans="1:41" x14ac:dyDescent="0.3">
      <c r="A118" t="s">
        <v>159</v>
      </c>
      <c r="F118">
        <v>50</v>
      </c>
      <c r="H118" t="s">
        <v>78</v>
      </c>
      <c r="L118" t="s">
        <v>160</v>
      </c>
      <c r="M118" t="s">
        <v>78</v>
      </c>
      <c r="N118" t="s">
        <v>78</v>
      </c>
      <c r="O118">
        <v>9</v>
      </c>
      <c r="P118">
        <v>18</v>
      </c>
      <c r="Q118">
        <v>85</v>
      </c>
      <c r="X118">
        <v>5</v>
      </c>
      <c r="Y118" t="s">
        <v>158</v>
      </c>
      <c r="AA118">
        <v>2</v>
      </c>
      <c r="AG118">
        <v>1</v>
      </c>
      <c r="AH118">
        <v>1</v>
      </c>
      <c r="AI118" t="s">
        <v>161</v>
      </c>
    </row>
    <row r="119" spans="1:41" x14ac:dyDescent="0.3">
      <c r="A119" t="s">
        <v>162</v>
      </c>
      <c r="F119">
        <v>50</v>
      </c>
      <c r="H119" t="s">
        <v>83</v>
      </c>
      <c r="I119" t="s">
        <v>163</v>
      </c>
      <c r="L119" t="s">
        <v>164</v>
      </c>
      <c r="M119" t="s">
        <v>78</v>
      </c>
      <c r="N119" t="s">
        <v>78</v>
      </c>
      <c r="O119">
        <v>9</v>
      </c>
      <c r="P119">
        <v>9</v>
      </c>
      <c r="Q119">
        <v>70</v>
      </c>
      <c r="Y119" t="s">
        <v>165</v>
      </c>
      <c r="AA119">
        <v>3</v>
      </c>
      <c r="AG119">
        <v>1</v>
      </c>
      <c r="AH119">
        <v>1</v>
      </c>
      <c r="AI119" t="s">
        <v>141</v>
      </c>
      <c r="AJ119" t="b">
        <v>1</v>
      </c>
    </row>
    <row r="120" spans="1:41" x14ac:dyDescent="0.3">
      <c r="A120" t="s">
        <v>82</v>
      </c>
      <c r="F120">
        <v>50</v>
      </c>
      <c r="G120" t="s">
        <v>166</v>
      </c>
      <c r="H120" t="s">
        <v>83</v>
      </c>
      <c r="I120" t="s">
        <v>163</v>
      </c>
      <c r="L120" t="s">
        <v>167</v>
      </c>
      <c r="M120" t="s">
        <v>78</v>
      </c>
      <c r="N120" t="s">
        <v>168</v>
      </c>
      <c r="O120">
        <v>9</v>
      </c>
      <c r="P120">
        <v>9</v>
      </c>
      <c r="Q120">
        <v>70</v>
      </c>
      <c r="Y120" t="s">
        <v>165</v>
      </c>
      <c r="AA120">
        <v>3</v>
      </c>
      <c r="AF120" t="b">
        <v>1</v>
      </c>
      <c r="AG120">
        <v>2</v>
      </c>
      <c r="AH120">
        <v>2</v>
      </c>
      <c r="AI120" t="s">
        <v>141</v>
      </c>
      <c r="AJ120" t="b">
        <v>1</v>
      </c>
      <c r="AL120" t="b">
        <v>1</v>
      </c>
      <c r="AO120" t="s">
        <v>169</v>
      </c>
    </row>
    <row r="121" spans="1:41" x14ac:dyDescent="0.3">
      <c r="A121" t="s">
        <v>170</v>
      </c>
      <c r="B121" t="s">
        <v>121</v>
      </c>
      <c r="F121">
        <v>50</v>
      </c>
      <c r="H121" t="s">
        <v>78</v>
      </c>
      <c r="I121" t="s">
        <v>83</v>
      </c>
      <c r="L121" t="s">
        <v>171</v>
      </c>
      <c r="M121" t="s">
        <v>78</v>
      </c>
      <c r="N121" t="s">
        <v>78</v>
      </c>
      <c r="O121">
        <v>9</v>
      </c>
      <c r="P121">
        <v>9</v>
      </c>
      <c r="Q121">
        <v>70</v>
      </c>
      <c r="AG121">
        <v>1</v>
      </c>
      <c r="AH121">
        <v>1</v>
      </c>
      <c r="AI121" t="s">
        <v>130</v>
      </c>
      <c r="AJ121" t="b">
        <v>1</v>
      </c>
    </row>
    <row r="122" spans="1:41" x14ac:dyDescent="0.3">
      <c r="A122" t="s">
        <v>172</v>
      </c>
      <c r="B122" t="s">
        <v>151</v>
      </c>
      <c r="C122" t="s">
        <v>165</v>
      </c>
      <c r="F122">
        <v>50</v>
      </c>
      <c r="H122" t="s">
        <v>80</v>
      </c>
      <c r="L122" t="s">
        <v>173</v>
      </c>
      <c r="M122" t="s">
        <v>78</v>
      </c>
      <c r="N122" t="s">
        <v>174</v>
      </c>
      <c r="O122">
        <v>9</v>
      </c>
      <c r="P122">
        <v>9</v>
      </c>
      <c r="Q122">
        <v>70</v>
      </c>
      <c r="AF122" t="b">
        <v>1</v>
      </c>
      <c r="AG122">
        <v>2</v>
      </c>
      <c r="AH122">
        <v>2</v>
      </c>
      <c r="AI122" t="s">
        <v>130</v>
      </c>
      <c r="AJ122" t="b">
        <v>1</v>
      </c>
      <c r="AL122" t="b">
        <v>1</v>
      </c>
      <c r="AO122" t="s">
        <v>169</v>
      </c>
    </row>
    <row r="123" spans="1:41" x14ac:dyDescent="0.3">
      <c r="A123" t="s">
        <v>175</v>
      </c>
      <c r="B123" t="s">
        <v>151</v>
      </c>
      <c r="C123" t="s">
        <v>165</v>
      </c>
      <c r="F123">
        <v>50</v>
      </c>
      <c r="H123" t="s">
        <v>78</v>
      </c>
      <c r="I123" t="s">
        <v>80</v>
      </c>
      <c r="L123" t="s">
        <v>176</v>
      </c>
      <c r="M123" t="s">
        <v>78</v>
      </c>
      <c r="N123" t="s">
        <v>177</v>
      </c>
      <c r="O123">
        <v>11</v>
      </c>
      <c r="P123">
        <v>12</v>
      </c>
      <c r="Q123">
        <v>65</v>
      </c>
      <c r="AF123" t="b">
        <v>1</v>
      </c>
      <c r="AG123">
        <v>1</v>
      </c>
      <c r="AH123">
        <v>2</v>
      </c>
      <c r="AI123" t="s">
        <v>125</v>
      </c>
      <c r="AJ123" t="b">
        <v>1</v>
      </c>
      <c r="AL123" t="b">
        <v>1</v>
      </c>
      <c r="AM123" t="b">
        <v>1</v>
      </c>
      <c r="AO123" t="s">
        <v>169</v>
      </c>
    </row>
    <row r="124" spans="1:41" x14ac:dyDescent="0.3">
      <c r="A124" t="s">
        <v>81</v>
      </c>
      <c r="B124" t="s">
        <v>151</v>
      </c>
      <c r="C124" t="s">
        <v>165</v>
      </c>
      <c r="F124">
        <v>50</v>
      </c>
      <c r="G124" t="s">
        <v>178</v>
      </c>
      <c r="H124" t="s">
        <v>80</v>
      </c>
      <c r="L124" t="s">
        <v>179</v>
      </c>
      <c r="M124" t="s">
        <v>80</v>
      </c>
      <c r="N124" t="s">
        <v>80</v>
      </c>
      <c r="O124">
        <v>8</v>
      </c>
      <c r="P124">
        <v>7</v>
      </c>
      <c r="Q124">
        <v>80</v>
      </c>
      <c r="AG124">
        <v>1</v>
      </c>
      <c r="AH124">
        <v>1</v>
      </c>
      <c r="AI124" t="s">
        <v>117</v>
      </c>
    </row>
    <row r="125" spans="1:41" x14ac:dyDescent="0.3">
      <c r="A125" t="s">
        <v>180</v>
      </c>
      <c r="F125">
        <v>50</v>
      </c>
      <c r="H125" t="s">
        <v>168</v>
      </c>
      <c r="L125" t="s">
        <v>181</v>
      </c>
      <c r="M125" t="s">
        <v>80</v>
      </c>
      <c r="N125" t="s">
        <v>80</v>
      </c>
      <c r="O125">
        <v>4</v>
      </c>
      <c r="P125">
        <v>4</v>
      </c>
      <c r="Q125">
        <v>85</v>
      </c>
      <c r="R125">
        <v>5</v>
      </c>
      <c r="AG125">
        <v>1</v>
      </c>
      <c r="AH125">
        <v>1</v>
      </c>
      <c r="AI125" t="s">
        <v>117</v>
      </c>
    </row>
    <row r="126" spans="1:41" x14ac:dyDescent="0.3">
      <c r="A126" t="s">
        <v>182</v>
      </c>
      <c r="F126">
        <v>50</v>
      </c>
      <c r="H126" t="s">
        <v>168</v>
      </c>
      <c r="I126" t="s">
        <v>174</v>
      </c>
      <c r="J126" t="s">
        <v>183</v>
      </c>
      <c r="L126" t="s">
        <v>184</v>
      </c>
      <c r="M126" t="s">
        <v>80</v>
      </c>
      <c r="N126" t="s">
        <v>80</v>
      </c>
      <c r="O126">
        <v>13</v>
      </c>
      <c r="P126">
        <v>10</v>
      </c>
      <c r="Q126">
        <v>70</v>
      </c>
      <c r="AG126">
        <v>1</v>
      </c>
      <c r="AH126">
        <v>1</v>
      </c>
      <c r="AI126" t="s">
        <v>123</v>
      </c>
    </row>
    <row r="127" spans="1:41" x14ac:dyDescent="0.3">
      <c r="A127" t="s">
        <v>185</v>
      </c>
      <c r="B127" t="s">
        <v>121</v>
      </c>
      <c r="F127">
        <v>50</v>
      </c>
      <c r="H127" t="s">
        <v>168</v>
      </c>
      <c r="I127" t="s">
        <v>183</v>
      </c>
      <c r="L127" t="s">
        <v>186</v>
      </c>
      <c r="M127" t="s">
        <v>80</v>
      </c>
      <c r="N127" t="s">
        <v>80</v>
      </c>
      <c r="O127">
        <v>10</v>
      </c>
      <c r="P127">
        <v>14</v>
      </c>
      <c r="Q127">
        <v>75</v>
      </c>
      <c r="AG127">
        <v>1</v>
      </c>
      <c r="AH127">
        <v>1</v>
      </c>
      <c r="AI127" t="s">
        <v>125</v>
      </c>
    </row>
    <row r="128" spans="1:41" x14ac:dyDescent="0.3">
      <c r="A128" t="s">
        <v>187</v>
      </c>
      <c r="F128">
        <v>50</v>
      </c>
      <c r="H128" t="s">
        <v>174</v>
      </c>
      <c r="L128" t="s">
        <v>188</v>
      </c>
      <c r="M128" t="s">
        <v>80</v>
      </c>
      <c r="N128" t="s">
        <v>80</v>
      </c>
      <c r="O128">
        <v>8</v>
      </c>
      <c r="P128">
        <v>4</v>
      </c>
      <c r="Q128">
        <v>65</v>
      </c>
      <c r="AG128">
        <v>1</v>
      </c>
      <c r="AH128">
        <v>1</v>
      </c>
      <c r="AI128" t="s">
        <v>117</v>
      </c>
    </row>
    <row r="129" spans="1:37" x14ac:dyDescent="0.3">
      <c r="A129" t="s">
        <v>189</v>
      </c>
      <c r="F129">
        <v>50</v>
      </c>
      <c r="H129" t="s">
        <v>183</v>
      </c>
      <c r="L129" t="s">
        <v>190</v>
      </c>
      <c r="M129" t="s">
        <v>80</v>
      </c>
      <c r="N129" t="s">
        <v>80</v>
      </c>
      <c r="O129">
        <v>14</v>
      </c>
      <c r="P129">
        <v>10</v>
      </c>
      <c r="Q129">
        <v>70</v>
      </c>
      <c r="AC129" t="b">
        <v>1</v>
      </c>
      <c r="AG129">
        <v>1</v>
      </c>
      <c r="AH129">
        <v>1</v>
      </c>
      <c r="AI129" t="s">
        <v>141</v>
      </c>
    </row>
    <row r="130" spans="1:37" x14ac:dyDescent="0.3">
      <c r="A130" t="s">
        <v>191</v>
      </c>
      <c r="F130">
        <v>50</v>
      </c>
      <c r="H130" t="s">
        <v>183</v>
      </c>
      <c r="L130" t="s">
        <v>192</v>
      </c>
      <c r="M130" t="s">
        <v>80</v>
      </c>
      <c r="N130" t="s">
        <v>80</v>
      </c>
      <c r="O130">
        <v>9</v>
      </c>
      <c r="P130">
        <v>10</v>
      </c>
      <c r="Q130">
        <v>70</v>
      </c>
      <c r="R130">
        <v>30</v>
      </c>
      <c r="AG130">
        <v>1</v>
      </c>
      <c r="AH130">
        <v>1</v>
      </c>
      <c r="AI130" t="s">
        <v>130</v>
      </c>
    </row>
    <row r="131" spans="1:37" x14ac:dyDescent="0.3">
      <c r="A131" t="s">
        <v>193</v>
      </c>
      <c r="F131">
        <v>50</v>
      </c>
      <c r="G131" t="s">
        <v>194</v>
      </c>
      <c r="H131" t="s">
        <v>174</v>
      </c>
      <c r="L131" t="s">
        <v>195</v>
      </c>
      <c r="M131" t="s">
        <v>80</v>
      </c>
      <c r="N131" t="s">
        <v>80</v>
      </c>
      <c r="O131">
        <v>13</v>
      </c>
      <c r="P131">
        <v>7</v>
      </c>
      <c r="Q131">
        <v>70</v>
      </c>
      <c r="Y131" t="s">
        <v>121</v>
      </c>
      <c r="AA131">
        <v>3</v>
      </c>
      <c r="AG131">
        <v>1</v>
      </c>
      <c r="AH131">
        <v>1</v>
      </c>
      <c r="AI131" t="s">
        <v>123</v>
      </c>
    </row>
    <row r="132" spans="1:37" x14ac:dyDescent="0.3">
      <c r="A132" t="s">
        <v>196</v>
      </c>
      <c r="F132">
        <v>50</v>
      </c>
      <c r="H132" t="s">
        <v>177</v>
      </c>
      <c r="L132" t="s">
        <v>197</v>
      </c>
      <c r="M132" t="s">
        <v>80</v>
      </c>
      <c r="N132" t="s">
        <v>80</v>
      </c>
      <c r="O132">
        <v>11</v>
      </c>
      <c r="P132">
        <v>6</v>
      </c>
      <c r="Q132">
        <v>65</v>
      </c>
      <c r="AG132">
        <v>1</v>
      </c>
      <c r="AH132">
        <v>2</v>
      </c>
      <c r="AI132" t="s">
        <v>117</v>
      </c>
    </row>
    <row r="133" spans="1:37" x14ac:dyDescent="0.3">
      <c r="A133" t="s">
        <v>198</v>
      </c>
      <c r="F133">
        <v>50</v>
      </c>
      <c r="H133" t="s">
        <v>168</v>
      </c>
      <c r="I133" t="s">
        <v>177</v>
      </c>
      <c r="J133" t="s">
        <v>183</v>
      </c>
      <c r="L133" t="s">
        <v>199</v>
      </c>
      <c r="M133" t="s">
        <v>80</v>
      </c>
      <c r="N133" t="s">
        <v>80</v>
      </c>
      <c r="O133">
        <v>10</v>
      </c>
      <c r="P133">
        <v>12</v>
      </c>
      <c r="Q133">
        <v>70</v>
      </c>
      <c r="R133">
        <v>5</v>
      </c>
      <c r="AG133">
        <v>1</v>
      </c>
      <c r="AH133">
        <v>2</v>
      </c>
      <c r="AI133" t="s">
        <v>141</v>
      </c>
    </row>
    <row r="134" spans="1:37" x14ac:dyDescent="0.3">
      <c r="A134" t="s">
        <v>200</v>
      </c>
      <c r="F134">
        <v>50</v>
      </c>
      <c r="H134" t="s">
        <v>177</v>
      </c>
      <c r="I134" t="s">
        <v>183</v>
      </c>
      <c r="L134" t="s">
        <v>201</v>
      </c>
      <c r="M134" t="s">
        <v>80</v>
      </c>
      <c r="N134" t="s">
        <v>80</v>
      </c>
      <c r="O134">
        <v>11</v>
      </c>
      <c r="P134">
        <v>10</v>
      </c>
      <c r="Q134">
        <v>70</v>
      </c>
      <c r="R134">
        <v>5</v>
      </c>
      <c r="AB134" t="b">
        <v>1</v>
      </c>
      <c r="AG134">
        <v>1</v>
      </c>
      <c r="AH134">
        <v>1</v>
      </c>
      <c r="AI134" t="s">
        <v>130</v>
      </c>
    </row>
    <row r="135" spans="1:37" x14ac:dyDescent="0.3">
      <c r="A135" t="s">
        <v>202</v>
      </c>
      <c r="F135">
        <v>50</v>
      </c>
      <c r="H135" t="s">
        <v>136</v>
      </c>
      <c r="L135" t="s">
        <v>203</v>
      </c>
      <c r="M135" t="s">
        <v>80</v>
      </c>
      <c r="N135" t="s">
        <v>80</v>
      </c>
      <c r="O135">
        <v>8</v>
      </c>
      <c r="P135">
        <v>10</v>
      </c>
      <c r="Q135">
        <v>80</v>
      </c>
      <c r="R135">
        <v>10</v>
      </c>
      <c r="Y135" t="s">
        <v>121</v>
      </c>
      <c r="Z135" t="s">
        <v>135</v>
      </c>
      <c r="AA135">
        <v>3</v>
      </c>
      <c r="AG135">
        <v>1</v>
      </c>
      <c r="AH135">
        <v>1</v>
      </c>
      <c r="AI135" t="s">
        <v>110</v>
      </c>
      <c r="AK135" t="s">
        <v>204</v>
      </c>
    </row>
    <row r="136" spans="1:37" x14ac:dyDescent="0.3">
      <c r="A136" t="s">
        <v>205</v>
      </c>
      <c r="F136">
        <v>50</v>
      </c>
      <c r="H136" t="s">
        <v>136</v>
      </c>
      <c r="L136" t="s">
        <v>206</v>
      </c>
      <c r="M136" t="s">
        <v>80</v>
      </c>
      <c r="N136" t="s">
        <v>80</v>
      </c>
      <c r="O136">
        <v>8</v>
      </c>
      <c r="P136">
        <v>10</v>
      </c>
      <c r="Q136">
        <v>70</v>
      </c>
      <c r="Y136" t="s">
        <v>151</v>
      </c>
      <c r="AA136">
        <v>3</v>
      </c>
      <c r="AG136">
        <v>1</v>
      </c>
      <c r="AH136">
        <v>1</v>
      </c>
      <c r="AI136" t="s">
        <v>130</v>
      </c>
    </row>
    <row r="137" spans="1:37" x14ac:dyDescent="0.3">
      <c r="A137" t="s">
        <v>207</v>
      </c>
      <c r="E137">
        <v>15</v>
      </c>
      <c r="F137">
        <v>50</v>
      </c>
      <c r="H137" t="s">
        <v>136</v>
      </c>
      <c r="L137" t="s">
        <v>208</v>
      </c>
      <c r="M137" t="s">
        <v>80</v>
      </c>
      <c r="N137" t="s">
        <v>80</v>
      </c>
      <c r="O137">
        <v>11</v>
      </c>
      <c r="P137">
        <v>15</v>
      </c>
      <c r="Q137">
        <v>85</v>
      </c>
      <c r="W137">
        <v>5</v>
      </c>
      <c r="Y137" t="s">
        <v>158</v>
      </c>
      <c r="AA137">
        <v>2</v>
      </c>
      <c r="AG137">
        <v>1</v>
      </c>
      <c r="AH137">
        <v>1</v>
      </c>
      <c r="AI137" t="s">
        <v>161</v>
      </c>
    </row>
    <row r="138" spans="1:37" x14ac:dyDescent="0.3">
      <c r="A138" t="s">
        <v>209</v>
      </c>
      <c r="F138">
        <v>50</v>
      </c>
      <c r="H138" t="s">
        <v>80</v>
      </c>
      <c r="L138" t="s">
        <v>210</v>
      </c>
      <c r="M138" t="s">
        <v>80</v>
      </c>
      <c r="N138" t="s">
        <v>80</v>
      </c>
      <c r="O138">
        <v>11</v>
      </c>
      <c r="P138">
        <v>17</v>
      </c>
      <c r="Q138">
        <v>80</v>
      </c>
      <c r="S138">
        <v>5</v>
      </c>
      <c r="Y138" t="s">
        <v>158</v>
      </c>
      <c r="AA138">
        <v>2</v>
      </c>
      <c r="AG138">
        <v>1</v>
      </c>
      <c r="AH138">
        <v>1</v>
      </c>
      <c r="AI138" t="s">
        <v>110</v>
      </c>
      <c r="AK138" t="s">
        <v>204</v>
      </c>
    </row>
    <row r="139" spans="1:37" x14ac:dyDescent="0.3">
      <c r="A139" t="s">
        <v>211</v>
      </c>
      <c r="F139">
        <v>50</v>
      </c>
      <c r="H139" t="s">
        <v>80</v>
      </c>
      <c r="L139" t="s">
        <v>48</v>
      </c>
      <c r="M139" t="s">
        <v>80</v>
      </c>
      <c r="N139" t="s">
        <v>80</v>
      </c>
      <c r="O139">
        <v>14</v>
      </c>
      <c r="P139">
        <v>9</v>
      </c>
      <c r="Q139">
        <v>70</v>
      </c>
      <c r="Y139" t="s">
        <v>135</v>
      </c>
      <c r="AA139">
        <v>3</v>
      </c>
      <c r="AG139">
        <v>1</v>
      </c>
      <c r="AH139">
        <v>1</v>
      </c>
      <c r="AI139" t="s">
        <v>123</v>
      </c>
    </row>
    <row r="140" spans="1:37" x14ac:dyDescent="0.3">
      <c r="A140" t="s">
        <v>212</v>
      </c>
      <c r="E140">
        <v>15</v>
      </c>
      <c r="F140">
        <v>50</v>
      </c>
      <c r="H140" t="s">
        <v>80</v>
      </c>
      <c r="L140" t="s">
        <v>213</v>
      </c>
      <c r="M140" t="s">
        <v>80</v>
      </c>
      <c r="N140" t="s">
        <v>80</v>
      </c>
      <c r="O140">
        <v>12</v>
      </c>
      <c r="P140">
        <v>9</v>
      </c>
      <c r="Q140">
        <v>60</v>
      </c>
      <c r="AG140">
        <v>1</v>
      </c>
      <c r="AH140">
        <v>2</v>
      </c>
      <c r="AI140" t="s">
        <v>130</v>
      </c>
    </row>
    <row r="141" spans="1:37" x14ac:dyDescent="0.3">
      <c r="A141" t="s">
        <v>214</v>
      </c>
      <c r="F141">
        <v>50</v>
      </c>
      <c r="H141" t="s">
        <v>168</v>
      </c>
      <c r="L141" t="s">
        <v>215</v>
      </c>
      <c r="M141" t="s">
        <v>136</v>
      </c>
      <c r="N141" t="s">
        <v>136</v>
      </c>
      <c r="O141">
        <v>10</v>
      </c>
      <c r="P141">
        <v>8</v>
      </c>
      <c r="Q141">
        <v>75</v>
      </c>
      <c r="AG141">
        <v>1</v>
      </c>
      <c r="AH141">
        <v>1</v>
      </c>
      <c r="AI141" t="s">
        <v>117</v>
      </c>
    </row>
    <row r="142" spans="1:37" x14ac:dyDescent="0.3">
      <c r="A142" t="s">
        <v>216</v>
      </c>
      <c r="F142">
        <v>50</v>
      </c>
      <c r="H142" t="s">
        <v>168</v>
      </c>
      <c r="L142" t="s">
        <v>217</v>
      </c>
      <c r="M142" t="s">
        <v>136</v>
      </c>
      <c r="N142" t="s">
        <v>136</v>
      </c>
      <c r="O142">
        <v>15</v>
      </c>
      <c r="P142">
        <v>11</v>
      </c>
      <c r="Q142">
        <v>65</v>
      </c>
      <c r="AG142">
        <v>1</v>
      </c>
      <c r="AH142">
        <v>1</v>
      </c>
      <c r="AI142" t="s">
        <v>117</v>
      </c>
    </row>
    <row r="143" spans="1:37" x14ac:dyDescent="0.3">
      <c r="A143" t="s">
        <v>218</v>
      </c>
      <c r="F143">
        <v>50</v>
      </c>
      <c r="H143" t="s">
        <v>168</v>
      </c>
      <c r="I143" t="s">
        <v>177</v>
      </c>
      <c r="J143" t="s">
        <v>174</v>
      </c>
      <c r="L143" t="s">
        <v>219</v>
      </c>
      <c r="M143" t="s">
        <v>136</v>
      </c>
      <c r="N143" t="s">
        <v>136</v>
      </c>
      <c r="O143">
        <v>12</v>
      </c>
      <c r="P143">
        <v>15</v>
      </c>
      <c r="Q143">
        <v>70</v>
      </c>
      <c r="AG143">
        <v>1</v>
      </c>
      <c r="AH143">
        <v>1</v>
      </c>
      <c r="AI143" t="s">
        <v>125</v>
      </c>
    </row>
    <row r="144" spans="1:37" x14ac:dyDescent="0.3">
      <c r="A144" t="s">
        <v>220</v>
      </c>
      <c r="B144" t="s">
        <v>165</v>
      </c>
      <c r="C144" t="s">
        <v>151</v>
      </c>
      <c r="F144">
        <v>50</v>
      </c>
      <c r="H144" t="s">
        <v>221</v>
      </c>
      <c r="L144" t="s">
        <v>222</v>
      </c>
      <c r="M144" t="s">
        <v>136</v>
      </c>
      <c r="N144" t="s">
        <v>136</v>
      </c>
      <c r="O144">
        <v>10</v>
      </c>
      <c r="P144">
        <v>4</v>
      </c>
      <c r="Q144">
        <v>60</v>
      </c>
      <c r="AG144">
        <v>1</v>
      </c>
      <c r="AH144">
        <v>1</v>
      </c>
      <c r="AI144" t="s">
        <v>123</v>
      </c>
    </row>
    <row r="145" spans="1:41" x14ac:dyDescent="0.3">
      <c r="A145" t="s">
        <v>223</v>
      </c>
      <c r="B145" t="s">
        <v>158</v>
      </c>
      <c r="C145" t="s">
        <v>165</v>
      </c>
      <c r="D145" t="s">
        <v>151</v>
      </c>
      <c r="F145">
        <v>50</v>
      </c>
      <c r="H145" t="s">
        <v>224</v>
      </c>
      <c r="L145" t="s">
        <v>225</v>
      </c>
      <c r="M145" t="s">
        <v>136</v>
      </c>
      <c r="N145" t="s">
        <v>136</v>
      </c>
      <c r="O145">
        <v>16</v>
      </c>
      <c r="P145">
        <v>10</v>
      </c>
      <c r="Q145">
        <v>65</v>
      </c>
      <c r="AC145" t="b">
        <v>1</v>
      </c>
      <c r="AG145">
        <v>1</v>
      </c>
      <c r="AH145">
        <v>1</v>
      </c>
      <c r="AI145" t="s">
        <v>141</v>
      </c>
    </row>
    <row r="146" spans="1:41" x14ac:dyDescent="0.3">
      <c r="A146" t="s">
        <v>226</v>
      </c>
      <c r="F146">
        <v>50</v>
      </c>
      <c r="H146" t="s">
        <v>136</v>
      </c>
      <c r="L146" t="s">
        <v>227</v>
      </c>
      <c r="M146" t="s">
        <v>136</v>
      </c>
      <c r="N146" t="s">
        <v>136</v>
      </c>
      <c r="O146">
        <v>11</v>
      </c>
      <c r="P146">
        <v>11</v>
      </c>
      <c r="Q146">
        <v>65</v>
      </c>
      <c r="R146">
        <v>30</v>
      </c>
      <c r="AG146">
        <v>1</v>
      </c>
      <c r="AH146">
        <v>1</v>
      </c>
      <c r="AI146" t="s">
        <v>130</v>
      </c>
    </row>
    <row r="147" spans="1:41" x14ac:dyDescent="0.3">
      <c r="A147" t="s">
        <v>228</v>
      </c>
      <c r="F147">
        <v>50</v>
      </c>
      <c r="H147" t="s">
        <v>136</v>
      </c>
      <c r="I147" t="s">
        <v>83</v>
      </c>
      <c r="L147" t="s">
        <v>229</v>
      </c>
      <c r="M147" t="s">
        <v>136</v>
      </c>
      <c r="N147" t="s">
        <v>136</v>
      </c>
      <c r="O147">
        <v>15</v>
      </c>
      <c r="P147">
        <v>10</v>
      </c>
      <c r="Q147">
        <v>60</v>
      </c>
      <c r="Y147" t="s">
        <v>121</v>
      </c>
      <c r="AA147">
        <v>3</v>
      </c>
      <c r="AG147">
        <v>1</v>
      </c>
      <c r="AH147">
        <v>1</v>
      </c>
      <c r="AI147" t="s">
        <v>123</v>
      </c>
    </row>
    <row r="148" spans="1:41" x14ac:dyDescent="0.3">
      <c r="A148" t="s">
        <v>230</v>
      </c>
      <c r="F148">
        <v>50</v>
      </c>
      <c r="H148" t="s">
        <v>136</v>
      </c>
      <c r="L148" t="s">
        <v>231</v>
      </c>
      <c r="M148" t="s">
        <v>136</v>
      </c>
      <c r="N148" t="s">
        <v>136</v>
      </c>
      <c r="O148">
        <v>15</v>
      </c>
      <c r="P148">
        <v>10</v>
      </c>
      <c r="Q148">
        <v>55</v>
      </c>
      <c r="Y148" t="s">
        <v>135</v>
      </c>
      <c r="AA148">
        <v>3</v>
      </c>
      <c r="AG148">
        <v>1</v>
      </c>
      <c r="AH148">
        <v>1</v>
      </c>
      <c r="AI148" t="s">
        <v>123</v>
      </c>
    </row>
    <row r="149" spans="1:41" x14ac:dyDescent="0.3">
      <c r="A149" t="s">
        <v>232</v>
      </c>
      <c r="F149">
        <v>50</v>
      </c>
      <c r="H149" t="s">
        <v>136</v>
      </c>
      <c r="L149" t="s">
        <v>233</v>
      </c>
      <c r="M149" t="s">
        <v>136</v>
      </c>
      <c r="N149" t="s">
        <v>136</v>
      </c>
      <c r="O149">
        <v>12</v>
      </c>
      <c r="P149">
        <v>7</v>
      </c>
      <c r="Q149">
        <v>60</v>
      </c>
      <c r="AG149">
        <v>1</v>
      </c>
      <c r="AH149">
        <v>2</v>
      </c>
      <c r="AI149" t="s">
        <v>117</v>
      </c>
    </row>
    <row r="150" spans="1:41" x14ac:dyDescent="0.3">
      <c r="A150" t="s">
        <v>234</v>
      </c>
      <c r="E150">
        <v>15</v>
      </c>
      <c r="F150">
        <v>50</v>
      </c>
      <c r="H150" t="s">
        <v>136</v>
      </c>
      <c r="L150" t="s">
        <v>235</v>
      </c>
      <c r="M150" t="s">
        <v>136</v>
      </c>
      <c r="N150" t="s">
        <v>136</v>
      </c>
      <c r="O150">
        <v>14</v>
      </c>
      <c r="P150">
        <v>13</v>
      </c>
      <c r="Q150">
        <v>65</v>
      </c>
      <c r="AG150">
        <v>1</v>
      </c>
      <c r="AH150">
        <v>2</v>
      </c>
      <c r="AI150" t="s">
        <v>125</v>
      </c>
    </row>
    <row r="151" spans="1:41" x14ac:dyDescent="0.3">
      <c r="A151" t="s">
        <v>236</v>
      </c>
      <c r="B151" t="s">
        <v>165</v>
      </c>
      <c r="F151">
        <v>50</v>
      </c>
      <c r="H151" t="s">
        <v>80</v>
      </c>
      <c r="L151" t="s">
        <v>237</v>
      </c>
      <c r="M151" t="s">
        <v>136</v>
      </c>
      <c r="N151" t="s">
        <v>136</v>
      </c>
      <c r="O151">
        <v>13</v>
      </c>
      <c r="P151">
        <v>11</v>
      </c>
      <c r="Q151">
        <v>65</v>
      </c>
      <c r="R151">
        <v>5</v>
      </c>
      <c r="AB151" t="b">
        <v>1</v>
      </c>
      <c r="AG151">
        <v>1</v>
      </c>
      <c r="AH151">
        <v>1</v>
      </c>
      <c r="AI151" t="s">
        <v>130</v>
      </c>
    </row>
    <row r="152" spans="1:41" x14ac:dyDescent="0.3">
      <c r="A152" t="s">
        <v>238</v>
      </c>
      <c r="B152" t="s">
        <v>165</v>
      </c>
      <c r="F152">
        <v>50</v>
      </c>
      <c r="H152" t="s">
        <v>78</v>
      </c>
      <c r="I152" t="s">
        <v>80</v>
      </c>
      <c r="L152" t="s">
        <v>239</v>
      </c>
      <c r="M152" t="s">
        <v>136</v>
      </c>
      <c r="N152" t="s">
        <v>136</v>
      </c>
      <c r="O152">
        <v>13</v>
      </c>
      <c r="P152">
        <v>11</v>
      </c>
      <c r="Q152">
        <v>80</v>
      </c>
      <c r="R152">
        <v>5</v>
      </c>
      <c r="Y152" t="s">
        <v>78</v>
      </c>
      <c r="AA152">
        <v>3</v>
      </c>
      <c r="AB152" t="b">
        <v>1</v>
      </c>
      <c r="AG152">
        <v>1</v>
      </c>
      <c r="AH152">
        <v>1</v>
      </c>
      <c r="AI152" t="s">
        <v>130</v>
      </c>
    </row>
    <row r="153" spans="1:41" x14ac:dyDescent="0.3">
      <c r="A153" t="s">
        <v>240</v>
      </c>
      <c r="B153" t="s">
        <v>121</v>
      </c>
      <c r="F153">
        <v>50</v>
      </c>
      <c r="H153" t="s">
        <v>183</v>
      </c>
      <c r="L153" t="s">
        <v>241</v>
      </c>
      <c r="M153" t="s">
        <v>136</v>
      </c>
      <c r="N153" t="s">
        <v>136</v>
      </c>
      <c r="O153">
        <v>5</v>
      </c>
      <c r="P153">
        <v>4</v>
      </c>
      <c r="Q153">
        <v>85</v>
      </c>
      <c r="AG153">
        <v>1</v>
      </c>
      <c r="AH153">
        <v>2</v>
      </c>
      <c r="AI153" t="s">
        <v>117</v>
      </c>
    </row>
    <row r="154" spans="1:41" x14ac:dyDescent="0.3">
      <c r="A154" t="s">
        <v>242</v>
      </c>
      <c r="B154" t="s">
        <v>121</v>
      </c>
      <c r="F154">
        <v>50</v>
      </c>
      <c r="H154" t="s">
        <v>174</v>
      </c>
      <c r="I154" t="s">
        <v>183</v>
      </c>
      <c r="L154" t="s">
        <v>243</v>
      </c>
      <c r="M154" t="s">
        <v>136</v>
      </c>
      <c r="N154" t="s">
        <v>136</v>
      </c>
      <c r="O154">
        <v>11</v>
      </c>
      <c r="P154">
        <v>12</v>
      </c>
      <c r="Q154">
        <v>60</v>
      </c>
      <c r="Y154" t="s">
        <v>151</v>
      </c>
      <c r="AA154">
        <v>3</v>
      </c>
      <c r="AG154">
        <v>1</v>
      </c>
      <c r="AH154">
        <v>1</v>
      </c>
      <c r="AI154" t="s">
        <v>130</v>
      </c>
    </row>
    <row r="155" spans="1:41" x14ac:dyDescent="0.3">
      <c r="A155" t="s">
        <v>244</v>
      </c>
      <c r="F155">
        <v>50</v>
      </c>
      <c r="H155" t="s">
        <v>177</v>
      </c>
      <c r="I155" t="s">
        <v>183</v>
      </c>
      <c r="L155" t="s">
        <v>245</v>
      </c>
      <c r="M155" t="s">
        <v>136</v>
      </c>
      <c r="N155" t="s">
        <v>136</v>
      </c>
      <c r="O155">
        <v>15</v>
      </c>
      <c r="P155">
        <v>13</v>
      </c>
      <c r="Q155">
        <v>60</v>
      </c>
      <c r="R155">
        <v>5</v>
      </c>
      <c r="AG155">
        <v>1</v>
      </c>
      <c r="AH155">
        <v>1</v>
      </c>
      <c r="AI155" t="s">
        <v>141</v>
      </c>
    </row>
    <row r="156" spans="1:41" x14ac:dyDescent="0.3">
      <c r="A156" t="s">
        <v>246</v>
      </c>
      <c r="F156">
        <v>50</v>
      </c>
      <c r="H156" t="s">
        <v>83</v>
      </c>
      <c r="L156" t="s">
        <v>247</v>
      </c>
      <c r="M156" t="s">
        <v>136</v>
      </c>
      <c r="N156" t="s">
        <v>136</v>
      </c>
      <c r="O156">
        <v>13</v>
      </c>
      <c r="P156">
        <v>20</v>
      </c>
      <c r="Q156">
        <v>75</v>
      </c>
      <c r="U156">
        <v>5</v>
      </c>
      <c r="Y156" t="s">
        <v>158</v>
      </c>
      <c r="AA156">
        <v>2</v>
      </c>
      <c r="AG156">
        <v>1</v>
      </c>
      <c r="AH156">
        <v>1</v>
      </c>
      <c r="AI156" t="s">
        <v>161</v>
      </c>
    </row>
    <row r="157" spans="1:41" x14ac:dyDescent="0.3">
      <c r="A157" t="s">
        <v>248</v>
      </c>
      <c r="F157">
        <v>50</v>
      </c>
      <c r="H157" t="s">
        <v>136</v>
      </c>
      <c r="L157" t="s">
        <v>249</v>
      </c>
      <c r="M157" t="s">
        <v>136</v>
      </c>
      <c r="N157" t="s">
        <v>136</v>
      </c>
      <c r="O157">
        <v>18</v>
      </c>
      <c r="P157">
        <v>18</v>
      </c>
      <c r="Q157">
        <v>55</v>
      </c>
      <c r="AG157">
        <v>1</v>
      </c>
      <c r="AH157">
        <v>1</v>
      </c>
      <c r="AI157" t="s">
        <v>117</v>
      </c>
      <c r="AN157" t="b">
        <v>1</v>
      </c>
      <c r="AO157" t="s">
        <v>250</v>
      </c>
    </row>
    <row r="158" spans="1:41" x14ac:dyDescent="0.3">
      <c r="A158" t="s">
        <v>251</v>
      </c>
      <c r="B158" t="s">
        <v>158</v>
      </c>
      <c r="F158">
        <v>50</v>
      </c>
      <c r="H158" t="s">
        <v>252</v>
      </c>
      <c r="L158" t="s">
        <v>51</v>
      </c>
      <c r="M158" t="s">
        <v>83</v>
      </c>
      <c r="O158">
        <v>5</v>
      </c>
      <c r="P158">
        <v>6</v>
      </c>
      <c r="Q158">
        <v>85</v>
      </c>
      <c r="Y158" t="s">
        <v>165</v>
      </c>
      <c r="AA158">
        <v>3</v>
      </c>
      <c r="AG158">
        <v>2</v>
      </c>
      <c r="AH158">
        <v>2</v>
      </c>
      <c r="AI158" t="s">
        <v>117</v>
      </c>
    </row>
    <row r="159" spans="1:41" x14ac:dyDescent="0.3">
      <c r="A159" t="s">
        <v>253</v>
      </c>
      <c r="B159" t="s">
        <v>158</v>
      </c>
      <c r="F159">
        <v>50</v>
      </c>
      <c r="H159" t="s">
        <v>252</v>
      </c>
      <c r="L159" t="s">
        <v>254</v>
      </c>
      <c r="M159" t="s">
        <v>83</v>
      </c>
      <c r="O159">
        <v>9</v>
      </c>
      <c r="P159">
        <v>9</v>
      </c>
      <c r="Q159">
        <v>70</v>
      </c>
      <c r="Y159" t="s">
        <v>165</v>
      </c>
      <c r="AA159">
        <v>3</v>
      </c>
      <c r="AG159">
        <v>2</v>
      </c>
      <c r="AH159">
        <v>2</v>
      </c>
      <c r="AI159" t="s">
        <v>123</v>
      </c>
    </row>
    <row r="160" spans="1:41" x14ac:dyDescent="0.3">
      <c r="A160" t="s">
        <v>255</v>
      </c>
      <c r="B160" t="s">
        <v>158</v>
      </c>
      <c r="F160">
        <v>50</v>
      </c>
      <c r="H160" t="s">
        <v>78</v>
      </c>
      <c r="I160" t="s">
        <v>80</v>
      </c>
      <c r="J160" t="s">
        <v>83</v>
      </c>
      <c r="L160" t="s">
        <v>57</v>
      </c>
      <c r="M160" t="s">
        <v>83</v>
      </c>
      <c r="O160">
        <v>6</v>
      </c>
      <c r="P160">
        <v>13</v>
      </c>
      <c r="Q160">
        <v>75</v>
      </c>
      <c r="Y160" t="s">
        <v>165</v>
      </c>
      <c r="AA160">
        <v>3</v>
      </c>
      <c r="AG160">
        <v>2</v>
      </c>
      <c r="AH160">
        <v>2</v>
      </c>
      <c r="AI160" t="s">
        <v>125</v>
      </c>
    </row>
    <row r="161" spans="1:36" x14ac:dyDescent="0.3">
      <c r="A161" t="s">
        <v>256</v>
      </c>
      <c r="B161" t="s">
        <v>158</v>
      </c>
      <c r="F161">
        <v>50</v>
      </c>
      <c r="H161" t="s">
        <v>78</v>
      </c>
      <c r="I161" t="s">
        <v>80</v>
      </c>
      <c r="J161" t="s">
        <v>83</v>
      </c>
      <c r="L161" t="s">
        <v>257</v>
      </c>
      <c r="M161" t="s">
        <v>83</v>
      </c>
      <c r="O161">
        <v>5</v>
      </c>
      <c r="P161">
        <v>4</v>
      </c>
      <c r="Q161">
        <v>65</v>
      </c>
      <c r="Y161" t="s">
        <v>165</v>
      </c>
      <c r="AA161">
        <v>3</v>
      </c>
      <c r="AG161">
        <v>2</v>
      </c>
      <c r="AH161">
        <v>2</v>
      </c>
      <c r="AI161" t="s">
        <v>123</v>
      </c>
    </row>
    <row r="162" spans="1:36" x14ac:dyDescent="0.3">
      <c r="A162" t="s">
        <v>258</v>
      </c>
      <c r="B162" t="s">
        <v>158</v>
      </c>
      <c r="F162">
        <v>50</v>
      </c>
      <c r="H162" t="s">
        <v>252</v>
      </c>
      <c r="L162" t="s">
        <v>259</v>
      </c>
      <c r="M162" t="s">
        <v>83</v>
      </c>
      <c r="O162">
        <v>7</v>
      </c>
      <c r="P162">
        <v>9</v>
      </c>
      <c r="Q162">
        <v>75</v>
      </c>
      <c r="R162">
        <v>30</v>
      </c>
      <c r="Y162" t="s">
        <v>165</v>
      </c>
      <c r="AA162">
        <v>3</v>
      </c>
      <c r="AG162">
        <v>2</v>
      </c>
      <c r="AH162">
        <v>2</v>
      </c>
      <c r="AI162" t="s">
        <v>130</v>
      </c>
    </row>
    <row r="163" spans="1:36" x14ac:dyDescent="0.3">
      <c r="A163" t="s">
        <v>260</v>
      </c>
      <c r="B163" t="s">
        <v>158</v>
      </c>
      <c r="F163">
        <v>50</v>
      </c>
      <c r="H163" t="s">
        <v>252</v>
      </c>
      <c r="L163" t="s">
        <v>261</v>
      </c>
      <c r="M163" t="s">
        <v>83</v>
      </c>
      <c r="O163">
        <v>12</v>
      </c>
      <c r="P163">
        <v>10</v>
      </c>
      <c r="Q163">
        <v>70</v>
      </c>
      <c r="Y163" t="s">
        <v>165</v>
      </c>
      <c r="AA163">
        <v>3</v>
      </c>
      <c r="AC163" t="b">
        <v>1</v>
      </c>
      <c r="AG163">
        <v>2</v>
      </c>
      <c r="AH163">
        <v>2</v>
      </c>
      <c r="AI163" t="s">
        <v>141</v>
      </c>
    </row>
    <row r="164" spans="1:36" x14ac:dyDescent="0.3">
      <c r="A164" t="s">
        <v>262</v>
      </c>
      <c r="B164" t="s">
        <v>158</v>
      </c>
      <c r="F164">
        <v>50</v>
      </c>
      <c r="H164" t="s">
        <v>136</v>
      </c>
      <c r="L164" t="s">
        <v>263</v>
      </c>
      <c r="M164" t="s">
        <v>83</v>
      </c>
      <c r="O164">
        <v>3</v>
      </c>
      <c r="P164">
        <v>5</v>
      </c>
      <c r="Q164">
        <v>85</v>
      </c>
      <c r="R164">
        <v>10</v>
      </c>
      <c r="Y164" t="s">
        <v>165</v>
      </c>
      <c r="AA164">
        <v>3</v>
      </c>
      <c r="AG164">
        <v>2</v>
      </c>
      <c r="AH164">
        <v>2</v>
      </c>
      <c r="AI164" t="s">
        <v>123</v>
      </c>
    </row>
    <row r="165" spans="1:36" x14ac:dyDescent="0.3">
      <c r="A165" t="s">
        <v>264</v>
      </c>
      <c r="B165" t="s">
        <v>158</v>
      </c>
      <c r="F165">
        <v>50</v>
      </c>
      <c r="H165" t="s">
        <v>265</v>
      </c>
      <c r="L165" t="s">
        <v>266</v>
      </c>
      <c r="M165" t="s">
        <v>83</v>
      </c>
      <c r="O165">
        <v>10</v>
      </c>
      <c r="P165">
        <v>5</v>
      </c>
      <c r="Q165">
        <v>65</v>
      </c>
      <c r="Y165" t="s">
        <v>165</v>
      </c>
      <c r="AA165">
        <v>3</v>
      </c>
      <c r="AG165">
        <v>2</v>
      </c>
      <c r="AH165">
        <v>3</v>
      </c>
      <c r="AI165" t="s">
        <v>123</v>
      </c>
    </row>
    <row r="166" spans="1:36" x14ac:dyDescent="0.3">
      <c r="A166" t="s">
        <v>267</v>
      </c>
      <c r="B166" t="s">
        <v>158</v>
      </c>
      <c r="F166">
        <v>50</v>
      </c>
      <c r="H166" t="s">
        <v>265</v>
      </c>
      <c r="L166" t="s">
        <v>163</v>
      </c>
      <c r="M166" t="s">
        <v>163</v>
      </c>
      <c r="O166">
        <v>20</v>
      </c>
      <c r="P166">
        <v>8</v>
      </c>
      <c r="Q166">
        <v>60</v>
      </c>
      <c r="Y166" t="s">
        <v>165</v>
      </c>
      <c r="AA166">
        <v>3</v>
      </c>
      <c r="AE166" t="b">
        <v>1</v>
      </c>
      <c r="AG166">
        <v>3</v>
      </c>
      <c r="AH166">
        <v>10</v>
      </c>
      <c r="AI166" t="s">
        <v>117</v>
      </c>
    </row>
    <row r="167" spans="1:36" x14ac:dyDescent="0.3">
      <c r="A167" t="s">
        <v>268</v>
      </c>
      <c r="B167" t="s">
        <v>158</v>
      </c>
      <c r="C167" t="s">
        <v>121</v>
      </c>
      <c r="F167">
        <v>50</v>
      </c>
      <c r="H167" t="s">
        <v>136</v>
      </c>
      <c r="L167" t="s">
        <v>269</v>
      </c>
      <c r="M167" t="s">
        <v>163</v>
      </c>
      <c r="O167">
        <v>20</v>
      </c>
      <c r="P167">
        <v>13</v>
      </c>
      <c r="Q167">
        <v>60</v>
      </c>
      <c r="Y167" t="s">
        <v>165</v>
      </c>
      <c r="AA167">
        <v>3</v>
      </c>
      <c r="AE167" t="b">
        <v>1</v>
      </c>
      <c r="AG167">
        <v>3</v>
      </c>
      <c r="AH167">
        <v>10</v>
      </c>
      <c r="AI167" t="s">
        <v>117</v>
      </c>
    </row>
    <row r="168" spans="1:36" x14ac:dyDescent="0.3">
      <c r="A168" t="s">
        <v>270</v>
      </c>
      <c r="B168" t="s">
        <v>158</v>
      </c>
      <c r="C168" t="s">
        <v>121</v>
      </c>
      <c r="F168">
        <v>50</v>
      </c>
      <c r="H168" t="s">
        <v>136</v>
      </c>
      <c r="I168" t="s">
        <v>83</v>
      </c>
      <c r="L168" t="s">
        <v>271</v>
      </c>
      <c r="M168" t="s">
        <v>163</v>
      </c>
      <c r="O168">
        <v>20</v>
      </c>
      <c r="P168">
        <v>12</v>
      </c>
      <c r="Q168">
        <v>65</v>
      </c>
      <c r="R168">
        <v>10</v>
      </c>
      <c r="Y168" t="s">
        <v>165</v>
      </c>
      <c r="AA168">
        <v>3</v>
      </c>
      <c r="AE168" t="b">
        <v>1</v>
      </c>
      <c r="AG168">
        <v>3</v>
      </c>
      <c r="AH168">
        <v>10</v>
      </c>
      <c r="AI168" t="s">
        <v>117</v>
      </c>
    </row>
    <row r="169" spans="1:36" x14ac:dyDescent="0.3">
      <c r="A169" t="s">
        <v>272</v>
      </c>
      <c r="B169" t="s">
        <v>158</v>
      </c>
      <c r="C169" t="s">
        <v>273</v>
      </c>
      <c r="F169">
        <v>50</v>
      </c>
      <c r="H169" t="s">
        <v>274</v>
      </c>
      <c r="I169" t="s">
        <v>275</v>
      </c>
      <c r="L169" t="s">
        <v>276</v>
      </c>
      <c r="M169" t="s">
        <v>83</v>
      </c>
      <c r="O169">
        <v>7</v>
      </c>
      <c r="P169">
        <v>18</v>
      </c>
      <c r="Q169">
        <v>80</v>
      </c>
      <c r="V169">
        <v>5</v>
      </c>
      <c r="Y169" t="s">
        <v>158</v>
      </c>
      <c r="AA169">
        <v>2</v>
      </c>
      <c r="AG169">
        <v>2</v>
      </c>
      <c r="AH169">
        <v>2</v>
      </c>
      <c r="AI169" t="s">
        <v>161</v>
      </c>
    </row>
    <row r="170" spans="1:36" x14ac:dyDescent="0.3">
      <c r="A170" t="s">
        <v>277</v>
      </c>
      <c r="B170" t="s">
        <v>158</v>
      </c>
      <c r="C170" t="s">
        <v>273</v>
      </c>
      <c r="F170">
        <v>50</v>
      </c>
      <c r="H170" t="s">
        <v>274</v>
      </c>
      <c r="I170" t="s">
        <v>275</v>
      </c>
      <c r="L170" t="s">
        <v>278</v>
      </c>
      <c r="M170" t="s">
        <v>168</v>
      </c>
      <c r="N170" t="s">
        <v>168</v>
      </c>
      <c r="O170">
        <v>4</v>
      </c>
      <c r="P170">
        <v>5</v>
      </c>
      <c r="Q170">
        <v>90</v>
      </c>
      <c r="AG170">
        <v>1</v>
      </c>
      <c r="AH170">
        <v>2</v>
      </c>
      <c r="AI170" t="s">
        <v>117</v>
      </c>
      <c r="AJ170" t="b">
        <v>1</v>
      </c>
    </row>
    <row r="171" spans="1:36" x14ac:dyDescent="0.3">
      <c r="A171" t="s">
        <v>279</v>
      </c>
      <c r="B171" t="s">
        <v>158</v>
      </c>
      <c r="F171">
        <v>50</v>
      </c>
      <c r="L171" t="s">
        <v>280</v>
      </c>
      <c r="M171" t="s">
        <v>168</v>
      </c>
      <c r="N171" t="s">
        <v>168</v>
      </c>
      <c r="O171">
        <v>6</v>
      </c>
      <c r="P171">
        <v>8</v>
      </c>
      <c r="Q171">
        <v>80</v>
      </c>
      <c r="R171">
        <v>5</v>
      </c>
      <c r="AG171">
        <v>1</v>
      </c>
      <c r="AH171">
        <v>2</v>
      </c>
      <c r="AI171" t="s">
        <v>123</v>
      </c>
      <c r="AJ171" t="b">
        <v>1</v>
      </c>
    </row>
    <row r="172" spans="1:36" x14ac:dyDescent="0.3">
      <c r="A172" t="s">
        <v>281</v>
      </c>
      <c r="B172" t="s">
        <v>158</v>
      </c>
      <c r="F172">
        <v>50</v>
      </c>
      <c r="H172" t="s">
        <v>275</v>
      </c>
      <c r="L172" t="s">
        <v>282</v>
      </c>
      <c r="M172" t="s">
        <v>168</v>
      </c>
      <c r="N172" t="s">
        <v>168</v>
      </c>
      <c r="O172">
        <v>10</v>
      </c>
      <c r="P172">
        <v>10</v>
      </c>
      <c r="Q172">
        <v>85</v>
      </c>
      <c r="AG172">
        <v>1</v>
      </c>
      <c r="AH172">
        <v>2</v>
      </c>
      <c r="AI172" t="s">
        <v>130</v>
      </c>
      <c r="AJ172" t="b">
        <v>1</v>
      </c>
    </row>
    <row r="173" spans="1:36" x14ac:dyDescent="0.3">
      <c r="A173" t="s">
        <v>283</v>
      </c>
      <c r="B173" t="s">
        <v>158</v>
      </c>
      <c r="F173">
        <v>50</v>
      </c>
      <c r="H173" t="s">
        <v>80</v>
      </c>
      <c r="L173" t="s">
        <v>284</v>
      </c>
      <c r="M173" t="s">
        <v>168</v>
      </c>
      <c r="N173" t="s">
        <v>168</v>
      </c>
      <c r="O173">
        <v>20</v>
      </c>
      <c r="P173">
        <v>12</v>
      </c>
      <c r="Q173">
        <v>60</v>
      </c>
      <c r="AE173" t="b">
        <v>1</v>
      </c>
      <c r="AG173">
        <v>3</v>
      </c>
      <c r="AH173">
        <v>10</v>
      </c>
      <c r="AI173" t="s">
        <v>141</v>
      </c>
      <c r="AJ173" t="b">
        <v>1</v>
      </c>
    </row>
    <row r="174" spans="1:36" x14ac:dyDescent="0.3">
      <c r="A174" t="s">
        <v>285</v>
      </c>
      <c r="B174" t="s">
        <v>158</v>
      </c>
      <c r="F174">
        <v>50</v>
      </c>
      <c r="H174" t="s">
        <v>80</v>
      </c>
      <c r="L174" t="s">
        <v>286</v>
      </c>
      <c r="M174" t="s">
        <v>168</v>
      </c>
      <c r="N174" t="s">
        <v>168</v>
      </c>
      <c r="O174">
        <v>12</v>
      </c>
      <c r="P174">
        <v>13</v>
      </c>
      <c r="Q174">
        <v>80</v>
      </c>
      <c r="AG174">
        <v>1</v>
      </c>
      <c r="AH174">
        <v>2</v>
      </c>
      <c r="AI174" t="s">
        <v>125</v>
      </c>
      <c r="AJ174" t="b">
        <v>1</v>
      </c>
    </row>
    <row r="175" spans="1:36" x14ac:dyDescent="0.3">
      <c r="A175" t="s">
        <v>287</v>
      </c>
      <c r="F175">
        <v>25</v>
      </c>
      <c r="H175" t="s">
        <v>136</v>
      </c>
      <c r="L175" t="s">
        <v>288</v>
      </c>
      <c r="M175" t="s">
        <v>168</v>
      </c>
      <c r="N175" t="s">
        <v>168</v>
      </c>
      <c r="O175">
        <v>13</v>
      </c>
      <c r="P175">
        <v>18</v>
      </c>
      <c r="Q175">
        <v>90</v>
      </c>
      <c r="R175">
        <v>10</v>
      </c>
      <c r="U175">
        <v>5</v>
      </c>
      <c r="Y175" t="s">
        <v>158</v>
      </c>
      <c r="AA175">
        <v>3</v>
      </c>
      <c r="AG175">
        <v>1</v>
      </c>
      <c r="AH175">
        <v>2</v>
      </c>
      <c r="AI175" t="s">
        <v>161</v>
      </c>
      <c r="AJ175" t="b">
        <v>1</v>
      </c>
    </row>
    <row r="176" spans="1:36" x14ac:dyDescent="0.3">
      <c r="A176" t="s">
        <v>289</v>
      </c>
      <c r="B176" t="s">
        <v>135</v>
      </c>
      <c r="F176">
        <v>25</v>
      </c>
      <c r="H176" t="s">
        <v>80</v>
      </c>
      <c r="L176" t="s">
        <v>290</v>
      </c>
      <c r="M176" t="s">
        <v>177</v>
      </c>
      <c r="N176" t="s">
        <v>177</v>
      </c>
      <c r="O176">
        <v>8</v>
      </c>
      <c r="P176">
        <v>7</v>
      </c>
      <c r="Q176">
        <v>80</v>
      </c>
      <c r="AG176">
        <v>1</v>
      </c>
      <c r="AH176">
        <v>2</v>
      </c>
      <c r="AI176" t="s">
        <v>123</v>
      </c>
      <c r="AJ176" t="b">
        <v>1</v>
      </c>
    </row>
    <row r="177" spans="1:41" x14ac:dyDescent="0.3">
      <c r="A177" t="s">
        <v>291</v>
      </c>
      <c r="F177">
        <v>25</v>
      </c>
      <c r="H177" t="s">
        <v>136</v>
      </c>
      <c r="L177" t="s">
        <v>292</v>
      </c>
      <c r="M177" t="s">
        <v>177</v>
      </c>
      <c r="N177" t="s">
        <v>177</v>
      </c>
      <c r="O177">
        <v>12</v>
      </c>
      <c r="Q177">
        <v>50</v>
      </c>
      <c r="R177">
        <v>10</v>
      </c>
      <c r="AD177" t="b">
        <v>1</v>
      </c>
      <c r="AG177">
        <v>1</v>
      </c>
      <c r="AH177">
        <v>2</v>
      </c>
      <c r="AI177" t="s">
        <v>130</v>
      </c>
      <c r="AJ177" t="b">
        <v>1</v>
      </c>
    </row>
    <row r="178" spans="1:41" x14ac:dyDescent="0.3">
      <c r="A178" t="s">
        <v>293</v>
      </c>
      <c r="F178">
        <v>25</v>
      </c>
      <c r="H178" t="s">
        <v>136</v>
      </c>
      <c r="L178" t="s">
        <v>294</v>
      </c>
      <c r="M178" t="s">
        <v>177</v>
      </c>
      <c r="N178" t="s">
        <v>177</v>
      </c>
      <c r="O178">
        <v>14</v>
      </c>
      <c r="P178">
        <v>10</v>
      </c>
      <c r="Q178">
        <v>70</v>
      </c>
      <c r="AG178">
        <v>1</v>
      </c>
      <c r="AH178">
        <v>2</v>
      </c>
      <c r="AI178" t="s">
        <v>130</v>
      </c>
      <c r="AJ178" t="b">
        <v>1</v>
      </c>
      <c r="AM178" t="b">
        <v>1</v>
      </c>
    </row>
    <row r="179" spans="1:41" x14ac:dyDescent="0.3">
      <c r="A179" t="s">
        <v>295</v>
      </c>
      <c r="B179" t="s">
        <v>158</v>
      </c>
      <c r="F179">
        <v>25</v>
      </c>
      <c r="H179" t="s">
        <v>158</v>
      </c>
      <c r="L179" t="s">
        <v>296</v>
      </c>
      <c r="M179" t="s">
        <v>177</v>
      </c>
      <c r="N179" t="s">
        <v>177</v>
      </c>
      <c r="O179">
        <v>12</v>
      </c>
      <c r="P179">
        <v>1000</v>
      </c>
      <c r="Q179">
        <v>30</v>
      </c>
      <c r="AD179" t="b">
        <v>1</v>
      </c>
      <c r="AE179" t="b">
        <v>1</v>
      </c>
      <c r="AF179" t="b">
        <v>1</v>
      </c>
      <c r="AG179">
        <v>3</v>
      </c>
      <c r="AH179">
        <v>10</v>
      </c>
      <c r="AI179" t="s">
        <v>141</v>
      </c>
      <c r="AJ179" t="b">
        <v>1</v>
      </c>
      <c r="AO179" t="s">
        <v>297</v>
      </c>
    </row>
    <row r="180" spans="1:41" x14ac:dyDescent="0.3">
      <c r="A180" t="s">
        <v>298</v>
      </c>
      <c r="B180" t="s">
        <v>135</v>
      </c>
      <c r="F180">
        <v>25</v>
      </c>
      <c r="H180" t="s">
        <v>80</v>
      </c>
      <c r="L180" t="s">
        <v>299</v>
      </c>
      <c r="M180" t="s">
        <v>177</v>
      </c>
      <c r="N180" t="s">
        <v>177</v>
      </c>
      <c r="O180">
        <v>18</v>
      </c>
      <c r="P180">
        <v>15</v>
      </c>
      <c r="Q180">
        <v>70</v>
      </c>
      <c r="AG180">
        <v>1</v>
      </c>
      <c r="AH180">
        <v>2</v>
      </c>
      <c r="AI180" t="s">
        <v>125</v>
      </c>
      <c r="AJ180" t="b">
        <v>1</v>
      </c>
    </row>
    <row r="181" spans="1:41" x14ac:dyDescent="0.3">
      <c r="A181" t="s">
        <v>300</v>
      </c>
      <c r="B181" t="s">
        <v>78</v>
      </c>
      <c r="F181">
        <v>25</v>
      </c>
      <c r="H181" t="s">
        <v>78</v>
      </c>
      <c r="L181" t="s">
        <v>301</v>
      </c>
      <c r="M181" t="s">
        <v>177</v>
      </c>
      <c r="N181" t="s">
        <v>177</v>
      </c>
      <c r="O181">
        <v>20</v>
      </c>
      <c r="P181">
        <v>23</v>
      </c>
      <c r="Q181">
        <v>80</v>
      </c>
      <c r="T181">
        <v>5</v>
      </c>
      <c r="Y181" t="s">
        <v>158</v>
      </c>
      <c r="AA181">
        <v>2</v>
      </c>
      <c r="AG181">
        <v>1</v>
      </c>
      <c r="AH181">
        <v>2</v>
      </c>
      <c r="AI181" t="s">
        <v>161</v>
      </c>
      <c r="AJ181" t="b">
        <v>1</v>
      </c>
    </row>
    <row r="182" spans="1:41" x14ac:dyDescent="0.3">
      <c r="A182" t="s">
        <v>302</v>
      </c>
      <c r="F182">
        <v>25</v>
      </c>
      <c r="H182" t="s">
        <v>177</v>
      </c>
      <c r="L182" t="s">
        <v>303</v>
      </c>
      <c r="M182" t="s">
        <v>177</v>
      </c>
      <c r="N182" t="s">
        <v>177</v>
      </c>
      <c r="O182">
        <v>18</v>
      </c>
      <c r="P182">
        <v>25</v>
      </c>
      <c r="Q182">
        <v>95</v>
      </c>
      <c r="AG182">
        <v>1</v>
      </c>
      <c r="AH182">
        <v>2</v>
      </c>
      <c r="AI182" t="s">
        <v>161</v>
      </c>
      <c r="AJ182" t="b">
        <v>1</v>
      </c>
    </row>
    <row r="183" spans="1:41" x14ac:dyDescent="0.3">
      <c r="A183" t="s">
        <v>304</v>
      </c>
      <c r="B183" t="s">
        <v>121</v>
      </c>
      <c r="F183">
        <v>25</v>
      </c>
      <c r="H183" t="s">
        <v>78</v>
      </c>
      <c r="I183" t="s">
        <v>80</v>
      </c>
      <c r="L183" t="s">
        <v>305</v>
      </c>
      <c r="M183" t="s">
        <v>174</v>
      </c>
      <c r="N183" t="s">
        <v>174</v>
      </c>
      <c r="O183">
        <v>6</v>
      </c>
      <c r="P183">
        <v>4</v>
      </c>
      <c r="Q183">
        <v>95</v>
      </c>
      <c r="R183">
        <v>5</v>
      </c>
      <c r="AG183">
        <v>1</v>
      </c>
      <c r="AH183">
        <v>2</v>
      </c>
      <c r="AI183" t="s">
        <v>117</v>
      </c>
      <c r="AJ183" t="b">
        <v>1</v>
      </c>
    </row>
    <row r="184" spans="1:41" x14ac:dyDescent="0.3">
      <c r="A184" t="s">
        <v>306</v>
      </c>
      <c r="B184" t="s">
        <v>135</v>
      </c>
      <c r="F184">
        <v>25</v>
      </c>
      <c r="G184" t="s">
        <v>143</v>
      </c>
      <c r="H184" t="s">
        <v>80</v>
      </c>
      <c r="L184" t="s">
        <v>307</v>
      </c>
      <c r="M184" t="s">
        <v>174</v>
      </c>
      <c r="N184" t="s">
        <v>174</v>
      </c>
      <c r="O184">
        <v>8</v>
      </c>
      <c r="P184">
        <v>6</v>
      </c>
      <c r="Q184">
        <v>90</v>
      </c>
      <c r="R184">
        <v>8</v>
      </c>
      <c r="AG184">
        <v>1</v>
      </c>
      <c r="AH184">
        <v>2</v>
      </c>
      <c r="AI184" t="s">
        <v>123</v>
      </c>
      <c r="AJ184" t="b">
        <v>1</v>
      </c>
    </row>
    <row r="185" spans="1:41" x14ac:dyDescent="0.3">
      <c r="A185" t="s">
        <v>308</v>
      </c>
      <c r="F185">
        <v>25</v>
      </c>
      <c r="H185" t="s">
        <v>136</v>
      </c>
      <c r="I185" t="s">
        <v>83</v>
      </c>
      <c r="L185" t="s">
        <v>309</v>
      </c>
      <c r="M185" t="s">
        <v>174</v>
      </c>
      <c r="N185" t="s">
        <v>174</v>
      </c>
      <c r="O185">
        <v>12</v>
      </c>
      <c r="P185">
        <v>8</v>
      </c>
      <c r="Q185">
        <v>85</v>
      </c>
      <c r="R185">
        <v>10</v>
      </c>
      <c r="AG185">
        <v>1</v>
      </c>
      <c r="AH185">
        <v>2</v>
      </c>
      <c r="AI185" t="s">
        <v>130</v>
      </c>
      <c r="AJ185" t="b">
        <v>1</v>
      </c>
    </row>
    <row r="186" spans="1:41" x14ac:dyDescent="0.3">
      <c r="A186" t="s">
        <v>310</v>
      </c>
      <c r="F186">
        <v>25</v>
      </c>
      <c r="H186" t="s">
        <v>174</v>
      </c>
      <c r="L186" t="s">
        <v>311</v>
      </c>
      <c r="M186" t="s">
        <v>174</v>
      </c>
      <c r="N186" t="s">
        <v>174</v>
      </c>
      <c r="O186">
        <v>20</v>
      </c>
      <c r="P186">
        <v>10</v>
      </c>
      <c r="Q186">
        <v>75</v>
      </c>
      <c r="R186">
        <v>5</v>
      </c>
      <c r="AE186" t="b">
        <v>1</v>
      </c>
      <c r="AG186">
        <v>3</v>
      </c>
      <c r="AH186">
        <v>10</v>
      </c>
      <c r="AI186" t="s">
        <v>141</v>
      </c>
      <c r="AJ186" t="b">
        <v>1</v>
      </c>
    </row>
    <row r="187" spans="1:41" x14ac:dyDescent="0.3">
      <c r="A187" t="s">
        <v>312</v>
      </c>
      <c r="B187" t="s">
        <v>158</v>
      </c>
      <c r="F187">
        <v>25</v>
      </c>
      <c r="H187" t="s">
        <v>78</v>
      </c>
      <c r="L187" t="s">
        <v>313</v>
      </c>
      <c r="M187" t="s">
        <v>174</v>
      </c>
      <c r="N187" t="s">
        <v>174</v>
      </c>
      <c r="O187">
        <v>15</v>
      </c>
      <c r="P187">
        <v>12</v>
      </c>
      <c r="Q187">
        <v>85</v>
      </c>
      <c r="R187">
        <v>15</v>
      </c>
      <c r="AG187">
        <v>1</v>
      </c>
      <c r="AH187">
        <v>2</v>
      </c>
      <c r="AI187" t="s">
        <v>125</v>
      </c>
      <c r="AJ187" t="b">
        <v>1</v>
      </c>
    </row>
    <row r="188" spans="1:41" x14ac:dyDescent="0.3">
      <c r="A188" t="s">
        <v>314</v>
      </c>
      <c r="B188" t="s">
        <v>158</v>
      </c>
      <c r="F188">
        <v>25</v>
      </c>
      <c r="H188" t="s">
        <v>136</v>
      </c>
      <c r="I188" t="s">
        <v>83</v>
      </c>
      <c r="L188" t="s">
        <v>315</v>
      </c>
      <c r="M188" t="s">
        <v>174</v>
      </c>
      <c r="N188" t="s">
        <v>174</v>
      </c>
      <c r="O188">
        <v>10</v>
      </c>
      <c r="P188">
        <v>17</v>
      </c>
      <c r="Q188">
        <v>90</v>
      </c>
      <c r="R188">
        <v>5</v>
      </c>
      <c r="W188">
        <v>5</v>
      </c>
      <c r="Y188" t="s">
        <v>158</v>
      </c>
      <c r="AA188">
        <v>2</v>
      </c>
      <c r="AG188">
        <v>1</v>
      </c>
      <c r="AH188">
        <v>2</v>
      </c>
      <c r="AI188" t="s">
        <v>161</v>
      </c>
      <c r="AJ188" t="b">
        <v>1</v>
      </c>
    </row>
    <row r="189" spans="1:41" x14ac:dyDescent="0.3">
      <c r="A189" t="s">
        <v>316</v>
      </c>
      <c r="B189" t="s">
        <v>121</v>
      </c>
      <c r="C189" t="s">
        <v>135</v>
      </c>
      <c r="F189">
        <v>25</v>
      </c>
      <c r="H189" t="s">
        <v>78</v>
      </c>
      <c r="I189" t="s">
        <v>80</v>
      </c>
      <c r="J189" t="s">
        <v>136</v>
      </c>
      <c r="L189" t="s">
        <v>221</v>
      </c>
      <c r="M189" t="s">
        <v>221</v>
      </c>
      <c r="P189">
        <v>16</v>
      </c>
      <c r="Q189">
        <v>100</v>
      </c>
      <c r="R189">
        <v>15</v>
      </c>
      <c r="S189">
        <v>12</v>
      </c>
      <c r="T189">
        <v>12</v>
      </c>
      <c r="W189">
        <v>15</v>
      </c>
      <c r="X189">
        <v>20</v>
      </c>
      <c r="Y189" t="s">
        <v>158</v>
      </c>
      <c r="AA189">
        <v>3</v>
      </c>
      <c r="AG189">
        <v>1</v>
      </c>
      <c r="AH189">
        <v>1</v>
      </c>
      <c r="AI189" t="s">
        <v>110</v>
      </c>
    </row>
    <row r="190" spans="1:41" x14ac:dyDescent="0.3">
      <c r="A190" t="s">
        <v>317</v>
      </c>
      <c r="F190">
        <v>25</v>
      </c>
      <c r="H190" t="s">
        <v>168</v>
      </c>
      <c r="I190" t="s">
        <v>174</v>
      </c>
      <c r="L190" t="s">
        <v>224</v>
      </c>
      <c r="M190" t="s">
        <v>224</v>
      </c>
      <c r="P190">
        <v>10</v>
      </c>
      <c r="Q190">
        <v>100</v>
      </c>
      <c r="S190">
        <v>10</v>
      </c>
      <c r="T190">
        <v>10</v>
      </c>
      <c r="W190">
        <v>20</v>
      </c>
      <c r="X190">
        <v>10</v>
      </c>
      <c r="AD190" t="b">
        <v>1</v>
      </c>
      <c r="AG190">
        <v>1</v>
      </c>
      <c r="AH190">
        <v>2</v>
      </c>
      <c r="AI190" t="s">
        <v>110</v>
      </c>
    </row>
    <row r="191" spans="1:41" x14ac:dyDescent="0.3">
      <c r="A191" t="s">
        <v>318</v>
      </c>
      <c r="B191" t="s">
        <v>78</v>
      </c>
      <c r="E191">
        <v>15</v>
      </c>
      <c r="F191">
        <v>25</v>
      </c>
      <c r="H191" t="s">
        <v>78</v>
      </c>
      <c r="L191" t="s">
        <v>319</v>
      </c>
      <c r="M191" t="s">
        <v>319</v>
      </c>
      <c r="P191">
        <v>15</v>
      </c>
      <c r="Q191">
        <v>60</v>
      </c>
      <c r="S191">
        <v>10</v>
      </c>
      <c r="T191">
        <v>10</v>
      </c>
      <c r="V191">
        <v>10</v>
      </c>
      <c r="W191">
        <v>10</v>
      </c>
      <c r="X191">
        <v>15</v>
      </c>
      <c r="AG191">
        <v>1</v>
      </c>
      <c r="AH191">
        <v>3</v>
      </c>
      <c r="AI191" t="s">
        <v>110</v>
      </c>
      <c r="AJ191" t="b">
        <v>1</v>
      </c>
    </row>
    <row r="192" spans="1:41" x14ac:dyDescent="0.3">
      <c r="A192" t="s">
        <v>320</v>
      </c>
      <c r="F192">
        <v>25</v>
      </c>
      <c r="H192" t="s">
        <v>136</v>
      </c>
      <c r="L192" t="s">
        <v>321</v>
      </c>
      <c r="M192" t="s">
        <v>321</v>
      </c>
      <c r="P192">
        <v>15</v>
      </c>
      <c r="Q192">
        <v>85</v>
      </c>
      <c r="R192">
        <v>10</v>
      </c>
      <c r="S192">
        <v>15</v>
      </c>
      <c r="T192">
        <v>15</v>
      </c>
      <c r="W192">
        <v>15</v>
      </c>
      <c r="X192">
        <v>10</v>
      </c>
      <c r="AG192">
        <v>1</v>
      </c>
      <c r="AH192">
        <v>1</v>
      </c>
      <c r="AI192" t="s">
        <v>110</v>
      </c>
    </row>
    <row r="193" spans="1:41" x14ac:dyDescent="0.3">
      <c r="A193" t="s">
        <v>322</v>
      </c>
      <c r="B193" t="s">
        <v>121</v>
      </c>
      <c r="F193">
        <v>25</v>
      </c>
      <c r="H193" t="s">
        <v>78</v>
      </c>
      <c r="I193" t="s">
        <v>83</v>
      </c>
      <c r="L193" t="s">
        <v>323</v>
      </c>
      <c r="M193" t="s">
        <v>275</v>
      </c>
      <c r="N193" t="s">
        <v>177</v>
      </c>
      <c r="O193">
        <v>10</v>
      </c>
      <c r="P193">
        <v>11</v>
      </c>
      <c r="Q193">
        <v>80</v>
      </c>
      <c r="AG193">
        <v>1</v>
      </c>
      <c r="AH193">
        <v>2</v>
      </c>
      <c r="AI193" t="s">
        <v>110</v>
      </c>
      <c r="AJ193" t="b">
        <v>1</v>
      </c>
    </row>
    <row r="194" spans="1:41" x14ac:dyDescent="0.3">
      <c r="A194" t="s">
        <v>324</v>
      </c>
      <c r="B194" t="s">
        <v>158</v>
      </c>
      <c r="C194" t="s">
        <v>165</v>
      </c>
      <c r="F194">
        <v>25</v>
      </c>
      <c r="H194" t="s">
        <v>80</v>
      </c>
      <c r="L194" t="s">
        <v>325</v>
      </c>
      <c r="M194" t="s">
        <v>275</v>
      </c>
      <c r="N194" t="s">
        <v>177</v>
      </c>
      <c r="O194">
        <v>20</v>
      </c>
      <c r="P194">
        <v>13</v>
      </c>
      <c r="Q194">
        <v>70</v>
      </c>
      <c r="R194">
        <v>5</v>
      </c>
      <c r="AE194" t="b">
        <v>1</v>
      </c>
      <c r="AG194">
        <v>3</v>
      </c>
      <c r="AH194">
        <v>10</v>
      </c>
      <c r="AI194" t="s">
        <v>110</v>
      </c>
      <c r="AJ194" t="b">
        <v>1</v>
      </c>
    </row>
    <row r="195" spans="1:41" x14ac:dyDescent="0.3">
      <c r="A195" t="s">
        <v>326</v>
      </c>
      <c r="B195" t="s">
        <v>158</v>
      </c>
      <c r="F195">
        <v>25</v>
      </c>
      <c r="H195" t="s">
        <v>136</v>
      </c>
      <c r="L195" t="s">
        <v>327</v>
      </c>
      <c r="M195" t="s">
        <v>252</v>
      </c>
      <c r="O195">
        <v>14</v>
      </c>
      <c r="P195">
        <v>14</v>
      </c>
      <c r="Q195">
        <v>65</v>
      </c>
      <c r="AG195">
        <v>1</v>
      </c>
      <c r="AH195">
        <v>1</v>
      </c>
      <c r="AI195" t="s">
        <v>110</v>
      </c>
    </row>
    <row r="196" spans="1:41" x14ac:dyDescent="0.3">
      <c r="A196" t="s">
        <v>328</v>
      </c>
      <c r="B196" t="s">
        <v>121</v>
      </c>
      <c r="F196">
        <v>25</v>
      </c>
      <c r="H196" t="s">
        <v>168</v>
      </c>
      <c r="I196" t="s">
        <v>174</v>
      </c>
      <c r="L196" t="s">
        <v>329</v>
      </c>
      <c r="M196" t="s">
        <v>252</v>
      </c>
      <c r="O196">
        <v>8</v>
      </c>
      <c r="P196">
        <v>7</v>
      </c>
      <c r="Q196">
        <v>80</v>
      </c>
      <c r="AG196">
        <v>1</v>
      </c>
      <c r="AH196">
        <v>1</v>
      </c>
      <c r="AI196" t="s">
        <v>110</v>
      </c>
    </row>
    <row r="197" spans="1:41" x14ac:dyDescent="0.3">
      <c r="A197" t="s">
        <v>330</v>
      </c>
      <c r="B197" t="s">
        <v>135</v>
      </c>
      <c r="F197">
        <v>25</v>
      </c>
      <c r="G197" t="s">
        <v>143</v>
      </c>
      <c r="H197" t="s">
        <v>80</v>
      </c>
      <c r="L197" t="s">
        <v>331</v>
      </c>
      <c r="M197" t="s">
        <v>252</v>
      </c>
      <c r="O197">
        <v>10</v>
      </c>
      <c r="P197">
        <v>12</v>
      </c>
      <c r="Q197">
        <v>75</v>
      </c>
      <c r="AG197">
        <v>1</v>
      </c>
      <c r="AH197">
        <v>1</v>
      </c>
      <c r="AI197" t="s">
        <v>110</v>
      </c>
    </row>
    <row r="198" spans="1:41" x14ac:dyDescent="0.3">
      <c r="A198" t="s">
        <v>332</v>
      </c>
      <c r="B198" t="s">
        <v>78</v>
      </c>
      <c r="F198">
        <v>25</v>
      </c>
      <c r="H198" t="s">
        <v>136</v>
      </c>
      <c r="L198" t="s">
        <v>333</v>
      </c>
      <c r="M198" t="s">
        <v>252</v>
      </c>
      <c r="O198">
        <v>10</v>
      </c>
      <c r="P198">
        <v>6</v>
      </c>
      <c r="Q198">
        <v>65</v>
      </c>
      <c r="AG198">
        <v>1</v>
      </c>
      <c r="AH198">
        <v>1</v>
      </c>
      <c r="AI198" t="s">
        <v>110</v>
      </c>
    </row>
    <row r="199" spans="1:41" x14ac:dyDescent="0.3">
      <c r="A199" t="s">
        <v>334</v>
      </c>
      <c r="B199" t="s">
        <v>335</v>
      </c>
      <c r="C199" t="s">
        <v>151</v>
      </c>
      <c r="F199">
        <v>25</v>
      </c>
      <c r="H199" t="s">
        <v>80</v>
      </c>
      <c r="L199" t="s">
        <v>336</v>
      </c>
      <c r="M199" t="s">
        <v>252</v>
      </c>
      <c r="O199">
        <v>12</v>
      </c>
      <c r="P199">
        <v>10</v>
      </c>
      <c r="Q199">
        <v>60</v>
      </c>
      <c r="AG199">
        <v>1</v>
      </c>
      <c r="AH199">
        <v>1</v>
      </c>
      <c r="AI199" t="s">
        <v>110</v>
      </c>
    </row>
    <row r="200" spans="1:41" x14ac:dyDescent="0.3">
      <c r="A200" t="s">
        <v>337</v>
      </c>
      <c r="B200" t="s">
        <v>121</v>
      </c>
      <c r="F200">
        <v>25</v>
      </c>
      <c r="G200" t="s">
        <v>178</v>
      </c>
      <c r="H200" t="s">
        <v>78</v>
      </c>
      <c r="I200" t="s">
        <v>80</v>
      </c>
      <c r="L200" t="s">
        <v>338</v>
      </c>
      <c r="M200" t="s">
        <v>265</v>
      </c>
      <c r="O200">
        <v>5</v>
      </c>
      <c r="P200">
        <v>5</v>
      </c>
      <c r="Q200">
        <v>90</v>
      </c>
      <c r="AG200">
        <v>1</v>
      </c>
      <c r="AH200">
        <v>1</v>
      </c>
      <c r="AI200" t="s">
        <v>110</v>
      </c>
    </row>
    <row r="201" spans="1:41" x14ac:dyDescent="0.3">
      <c r="A201" t="s">
        <v>339</v>
      </c>
      <c r="F201">
        <v>25</v>
      </c>
      <c r="H201" t="s">
        <v>177</v>
      </c>
      <c r="L201" t="s">
        <v>340</v>
      </c>
      <c r="M201" t="s">
        <v>265</v>
      </c>
      <c r="O201">
        <v>8</v>
      </c>
      <c r="P201">
        <v>13</v>
      </c>
      <c r="Q201">
        <v>80</v>
      </c>
      <c r="AG201">
        <v>1</v>
      </c>
      <c r="AH201">
        <v>1</v>
      </c>
      <c r="AI201" t="s">
        <v>110</v>
      </c>
    </row>
    <row r="202" spans="1:41" x14ac:dyDescent="0.3">
      <c r="A202" t="s">
        <v>341</v>
      </c>
      <c r="B202" t="s">
        <v>158</v>
      </c>
      <c r="F202">
        <v>25</v>
      </c>
      <c r="H202" t="s">
        <v>177</v>
      </c>
      <c r="L202" t="s">
        <v>342</v>
      </c>
      <c r="M202" t="s">
        <v>274</v>
      </c>
      <c r="N202" t="s">
        <v>177</v>
      </c>
      <c r="O202">
        <v>6</v>
      </c>
      <c r="P202">
        <v>7</v>
      </c>
      <c r="Q202">
        <v>85</v>
      </c>
      <c r="AG202">
        <v>1</v>
      </c>
      <c r="AH202">
        <v>2</v>
      </c>
      <c r="AI202" t="s">
        <v>110</v>
      </c>
      <c r="AJ202" t="b">
        <v>1</v>
      </c>
    </row>
    <row r="203" spans="1:41" x14ac:dyDescent="0.3">
      <c r="A203" t="s">
        <v>343</v>
      </c>
      <c r="F203">
        <v>25</v>
      </c>
      <c r="G203" t="s">
        <v>194</v>
      </c>
      <c r="H203" t="s">
        <v>174</v>
      </c>
      <c r="L203" t="s">
        <v>344</v>
      </c>
      <c r="M203" t="s">
        <v>274</v>
      </c>
      <c r="N203" t="s">
        <v>177</v>
      </c>
      <c r="O203">
        <v>13</v>
      </c>
      <c r="P203">
        <v>14</v>
      </c>
      <c r="Q203">
        <v>70</v>
      </c>
      <c r="R203">
        <v>5</v>
      </c>
      <c r="AG203">
        <v>1</v>
      </c>
      <c r="AH203">
        <v>2</v>
      </c>
      <c r="AI203" t="s">
        <v>110</v>
      </c>
      <c r="AJ203" t="b">
        <v>1</v>
      </c>
    </row>
    <row r="204" spans="1:41" x14ac:dyDescent="0.3">
      <c r="A204" t="s">
        <v>345</v>
      </c>
      <c r="B204" t="s">
        <v>158</v>
      </c>
      <c r="C204" t="s">
        <v>165</v>
      </c>
      <c r="D204" t="s">
        <v>151</v>
      </c>
      <c r="F204">
        <v>25</v>
      </c>
      <c r="H204" t="s">
        <v>224</v>
      </c>
      <c r="L204" t="s">
        <v>346</v>
      </c>
      <c r="M204" t="s">
        <v>183</v>
      </c>
      <c r="O204">
        <v>1000</v>
      </c>
      <c r="P204">
        <v>-10</v>
      </c>
      <c r="Q204">
        <v>1000</v>
      </c>
      <c r="AD204" t="b">
        <v>1</v>
      </c>
      <c r="AE204" t="b">
        <v>1</v>
      </c>
      <c r="AF204" t="b">
        <v>1</v>
      </c>
      <c r="AG204">
        <v>1</v>
      </c>
      <c r="AH204">
        <v>1</v>
      </c>
      <c r="AO204" t="s">
        <v>347</v>
      </c>
    </row>
    <row r="205" spans="1:41" x14ac:dyDescent="0.3">
      <c r="A205" t="s">
        <v>348</v>
      </c>
      <c r="F205">
        <v>0</v>
      </c>
      <c r="H205" t="s">
        <v>177</v>
      </c>
      <c r="L205" t="s">
        <v>349</v>
      </c>
      <c r="M205" t="s">
        <v>183</v>
      </c>
      <c r="O205">
        <v>1000</v>
      </c>
      <c r="P205">
        <v>-20</v>
      </c>
      <c r="Q205">
        <v>1000</v>
      </c>
      <c r="AD205" t="b">
        <v>1</v>
      </c>
      <c r="AE205" t="b">
        <v>1</v>
      </c>
      <c r="AF205" t="b">
        <v>1</v>
      </c>
      <c r="AG205">
        <v>1</v>
      </c>
      <c r="AH205">
        <v>1</v>
      </c>
      <c r="AO205" t="s">
        <v>350</v>
      </c>
    </row>
    <row r="206" spans="1:41" x14ac:dyDescent="0.3">
      <c r="A206" t="s">
        <v>351</v>
      </c>
      <c r="B206" t="s">
        <v>158</v>
      </c>
      <c r="F206">
        <v>0</v>
      </c>
      <c r="H206" t="s">
        <v>319</v>
      </c>
      <c r="I206" t="s">
        <v>321</v>
      </c>
      <c r="L206" t="s">
        <v>352</v>
      </c>
      <c r="M206" t="s">
        <v>183</v>
      </c>
      <c r="O206">
        <v>1000</v>
      </c>
      <c r="P206">
        <v>-80</v>
      </c>
      <c r="Q206">
        <v>1000</v>
      </c>
      <c r="AD206" t="b">
        <v>1</v>
      </c>
      <c r="AE206" t="b">
        <v>1</v>
      </c>
      <c r="AF206" t="b">
        <v>1</v>
      </c>
      <c r="AG206">
        <v>1</v>
      </c>
      <c r="AH206">
        <v>1</v>
      </c>
      <c r="AO206" t="s">
        <v>350</v>
      </c>
    </row>
    <row r="207" spans="1:41" x14ac:dyDescent="0.3">
      <c r="L207" t="s">
        <v>353</v>
      </c>
      <c r="M207" t="s">
        <v>183</v>
      </c>
      <c r="O207">
        <v>1000</v>
      </c>
      <c r="P207">
        <v>-10</v>
      </c>
      <c r="Q207">
        <v>1000</v>
      </c>
      <c r="AD207" t="b">
        <v>1</v>
      </c>
      <c r="AE207" t="b">
        <v>1</v>
      </c>
      <c r="AF207" t="b">
        <v>1</v>
      </c>
      <c r="AG207">
        <v>1</v>
      </c>
      <c r="AH207" t="s">
        <v>354</v>
      </c>
      <c r="AO207" t="s">
        <v>350</v>
      </c>
    </row>
    <row r="208" spans="1:41" x14ac:dyDescent="0.3">
      <c r="A208" t="s">
        <v>183</v>
      </c>
      <c r="B208" t="s">
        <v>346</v>
      </c>
      <c r="F208" t="s">
        <v>59</v>
      </c>
      <c r="G208" t="s">
        <v>71</v>
      </c>
      <c r="H208" t="s">
        <v>355</v>
      </c>
      <c r="I208" t="s">
        <v>72</v>
      </c>
      <c r="J208" t="s">
        <v>356</v>
      </c>
      <c r="L208" t="s">
        <v>357</v>
      </c>
      <c r="M208" t="s">
        <v>183</v>
      </c>
      <c r="O208">
        <v>1000</v>
      </c>
      <c r="P208">
        <v>-10</v>
      </c>
      <c r="Q208">
        <v>1000</v>
      </c>
      <c r="AD208" t="b">
        <v>1</v>
      </c>
      <c r="AE208" t="b">
        <v>1</v>
      </c>
      <c r="AF208" t="b">
        <v>1</v>
      </c>
      <c r="AG208">
        <v>1</v>
      </c>
      <c r="AH208" t="s">
        <v>354</v>
      </c>
      <c r="AO208" t="s">
        <v>350</v>
      </c>
    </row>
    <row r="209" spans="1:41" x14ac:dyDescent="0.3">
      <c r="A209" t="s">
        <v>346</v>
      </c>
      <c r="B209" t="s">
        <v>358</v>
      </c>
      <c r="F209" t="s">
        <v>396</v>
      </c>
      <c r="L209" t="s">
        <v>359</v>
      </c>
      <c r="M209" t="s">
        <v>183</v>
      </c>
      <c r="O209">
        <v>1000</v>
      </c>
      <c r="P209">
        <v>-120</v>
      </c>
      <c r="Q209">
        <v>1000</v>
      </c>
      <c r="S209">
        <v>-1000</v>
      </c>
      <c r="AD209" t="b">
        <v>1</v>
      </c>
      <c r="AE209" t="b">
        <v>1</v>
      </c>
      <c r="AF209" t="b">
        <v>1</v>
      </c>
      <c r="AG209">
        <v>1</v>
      </c>
      <c r="AH209" t="s">
        <v>354</v>
      </c>
      <c r="AO209" t="s">
        <v>350</v>
      </c>
    </row>
    <row r="210" spans="1:41" x14ac:dyDescent="0.3">
      <c r="A210" t="s">
        <v>349</v>
      </c>
      <c r="B210" t="s">
        <v>360</v>
      </c>
      <c r="F210" t="s">
        <v>49</v>
      </c>
      <c r="L210" t="s">
        <v>361</v>
      </c>
      <c r="M210" t="s">
        <v>362</v>
      </c>
      <c r="O210">
        <v>1000</v>
      </c>
      <c r="P210">
        <v>-10</v>
      </c>
      <c r="Q210">
        <v>1000</v>
      </c>
      <c r="S210">
        <v>-1000</v>
      </c>
      <c r="AD210" t="b">
        <v>1</v>
      </c>
      <c r="AE210" t="b">
        <v>1</v>
      </c>
      <c r="AF210" t="b">
        <v>1</v>
      </c>
      <c r="AG210">
        <v>0</v>
      </c>
      <c r="AH210">
        <v>0</v>
      </c>
      <c r="AO210" t="s">
        <v>350</v>
      </c>
    </row>
    <row r="211" spans="1:41" x14ac:dyDescent="0.3">
      <c r="A211" t="s">
        <v>352</v>
      </c>
      <c r="B211" t="s">
        <v>363</v>
      </c>
      <c r="F211" t="s">
        <v>364</v>
      </c>
      <c r="L211" t="s">
        <v>365</v>
      </c>
      <c r="M211" t="s">
        <v>362</v>
      </c>
      <c r="O211">
        <v>1000</v>
      </c>
      <c r="P211">
        <v>-120</v>
      </c>
      <c r="Q211">
        <v>1000</v>
      </c>
      <c r="S211">
        <v>-1000</v>
      </c>
      <c r="AD211" t="b">
        <v>1</v>
      </c>
      <c r="AE211" t="b">
        <v>1</v>
      </c>
      <c r="AF211" t="b">
        <v>1</v>
      </c>
      <c r="AG211">
        <v>0</v>
      </c>
      <c r="AH211">
        <v>0</v>
      </c>
      <c r="AO211" t="s">
        <v>350</v>
      </c>
    </row>
    <row r="212" spans="1:41" x14ac:dyDescent="0.3">
      <c r="A212" t="s">
        <v>353</v>
      </c>
      <c r="B212" t="s">
        <v>358</v>
      </c>
      <c r="F212" t="s">
        <v>55</v>
      </c>
      <c r="L212" t="s">
        <v>59</v>
      </c>
      <c r="M212" t="s">
        <v>59</v>
      </c>
      <c r="O212">
        <v>1000</v>
      </c>
      <c r="P212">
        <v>0</v>
      </c>
      <c r="Q212">
        <v>1000</v>
      </c>
      <c r="S212">
        <v>-1000</v>
      </c>
      <c r="AD212" t="b">
        <v>1</v>
      </c>
      <c r="AE212" t="b">
        <v>1</v>
      </c>
      <c r="AF212" t="b">
        <v>1</v>
      </c>
      <c r="AG212">
        <v>0</v>
      </c>
      <c r="AH212">
        <v>0</v>
      </c>
      <c r="AO212" t="s">
        <v>350</v>
      </c>
    </row>
    <row r="213" spans="1:41" x14ac:dyDescent="0.3">
      <c r="A213" t="s">
        <v>366</v>
      </c>
      <c r="B213" t="s">
        <v>358</v>
      </c>
      <c r="F213" t="s">
        <v>367</v>
      </c>
      <c r="G213">
        <v>1</v>
      </c>
      <c r="H213">
        <v>30</v>
      </c>
      <c r="L213" t="s">
        <v>381</v>
      </c>
      <c r="M213" t="s">
        <v>382</v>
      </c>
      <c r="O213">
        <v>0</v>
      </c>
      <c r="P213">
        <v>0</v>
      </c>
      <c r="Q213">
        <v>-1000</v>
      </c>
      <c r="S213">
        <v>-1000</v>
      </c>
      <c r="AO213" t="s">
        <v>383</v>
      </c>
    </row>
    <row r="214" spans="1:41" x14ac:dyDescent="0.3">
      <c r="A214" t="s">
        <v>359</v>
      </c>
      <c r="B214" t="s">
        <v>369</v>
      </c>
      <c r="F214" t="s">
        <v>370</v>
      </c>
      <c r="G214">
        <v>2</v>
      </c>
      <c r="H214">
        <v>40</v>
      </c>
      <c r="AA214" t="s">
        <v>368</v>
      </c>
    </row>
    <row r="215" spans="1:41" x14ac:dyDescent="0.3">
      <c r="F215" t="s">
        <v>371</v>
      </c>
      <c r="G215">
        <v>2</v>
      </c>
      <c r="H215">
        <v>20</v>
      </c>
      <c r="J215">
        <v>20</v>
      </c>
      <c r="AA215" t="s">
        <v>368</v>
      </c>
    </row>
    <row r="216" spans="1:41" x14ac:dyDescent="0.3">
      <c r="A216" t="s">
        <v>95</v>
      </c>
      <c r="B216" t="s">
        <v>372</v>
      </c>
      <c r="C216" t="s">
        <v>373</v>
      </c>
      <c r="F216" t="s">
        <v>374</v>
      </c>
      <c r="G216">
        <v>3</v>
      </c>
      <c r="H216">
        <v>20</v>
      </c>
      <c r="J216">
        <v>10</v>
      </c>
      <c r="AA216" t="s">
        <v>368</v>
      </c>
    </row>
    <row r="217" spans="1:41" x14ac:dyDescent="0.3">
      <c r="A217" t="s">
        <v>78</v>
      </c>
      <c r="B217" t="s">
        <v>136</v>
      </c>
      <c r="C217" t="s">
        <v>80</v>
      </c>
      <c r="F217" t="s">
        <v>375</v>
      </c>
      <c r="G217">
        <v>3</v>
      </c>
      <c r="H217">
        <v>30</v>
      </c>
      <c r="J217">
        <v>10</v>
      </c>
      <c r="AA217" t="s">
        <v>368</v>
      </c>
    </row>
    <row r="218" spans="1:41" x14ac:dyDescent="0.3">
      <c r="A218" t="s">
        <v>80</v>
      </c>
      <c r="B218" t="s">
        <v>78</v>
      </c>
      <c r="C218" t="s">
        <v>136</v>
      </c>
      <c r="F218" t="s">
        <v>58</v>
      </c>
      <c r="G218">
        <v>3</v>
      </c>
      <c r="H218">
        <v>30</v>
      </c>
      <c r="I218">
        <v>5</v>
      </c>
      <c r="J218">
        <v>10</v>
      </c>
      <c r="AA218" t="s">
        <v>368</v>
      </c>
    </row>
    <row r="219" spans="1:41" x14ac:dyDescent="0.3">
      <c r="A219" t="s">
        <v>136</v>
      </c>
      <c r="B219" t="s">
        <v>80</v>
      </c>
      <c r="C219" t="s">
        <v>78</v>
      </c>
      <c r="F219" t="s">
        <v>397</v>
      </c>
      <c r="AA219" t="s">
        <v>368</v>
      </c>
    </row>
    <row r="220" spans="1:41" x14ac:dyDescent="0.3">
      <c r="A220" t="s">
        <v>168</v>
      </c>
      <c r="B220" t="s">
        <v>174</v>
      </c>
      <c r="C220" t="s">
        <v>177</v>
      </c>
      <c r="F220" t="s">
        <v>398</v>
      </c>
      <c r="AA220" t="s">
        <v>368</v>
      </c>
    </row>
    <row r="221" spans="1:41" x14ac:dyDescent="0.3">
      <c r="A221" t="s">
        <v>177</v>
      </c>
      <c r="B221" t="s">
        <v>168</v>
      </c>
      <c r="C221" t="s">
        <v>174</v>
      </c>
      <c r="F221" t="s">
        <v>399</v>
      </c>
      <c r="AA221" t="s">
        <v>368</v>
      </c>
    </row>
    <row r="222" spans="1:41" x14ac:dyDescent="0.3">
      <c r="A222" t="s">
        <v>174</v>
      </c>
      <c r="B222" t="s">
        <v>177</v>
      </c>
      <c r="C222" t="s">
        <v>168</v>
      </c>
      <c r="F222" t="s">
        <v>400</v>
      </c>
      <c r="AA222" t="s">
        <v>368</v>
      </c>
    </row>
    <row r="223" spans="1:41" x14ac:dyDescent="0.3">
      <c r="A223" t="s">
        <v>83</v>
      </c>
      <c r="B223" t="s">
        <v>406</v>
      </c>
      <c r="C223" t="s">
        <v>406</v>
      </c>
      <c r="F223" t="s">
        <v>401</v>
      </c>
      <c r="AA223" t="s">
        <v>368</v>
      </c>
    </row>
    <row r="224" spans="1:41" x14ac:dyDescent="0.3">
      <c r="A224" t="s">
        <v>183</v>
      </c>
      <c r="B224" t="s">
        <v>406</v>
      </c>
      <c r="C224" t="s">
        <v>406</v>
      </c>
      <c r="F224" t="s">
        <v>52</v>
      </c>
      <c r="AA224" t="s">
        <v>368</v>
      </c>
    </row>
    <row r="225" spans="6:27" x14ac:dyDescent="0.3">
      <c r="F225" t="s">
        <v>402</v>
      </c>
      <c r="AA225" t="s">
        <v>368</v>
      </c>
    </row>
    <row r="226" spans="6:27" x14ac:dyDescent="0.3">
      <c r="F226" t="s">
        <v>403</v>
      </c>
      <c r="AA226" t="s">
        <v>368</v>
      </c>
    </row>
    <row r="227" spans="6:27" x14ac:dyDescent="0.3">
      <c r="F227" t="s">
        <v>404</v>
      </c>
      <c r="AA227" t="s">
        <v>368</v>
      </c>
    </row>
    <row r="228" spans="6:27" x14ac:dyDescent="0.3">
      <c r="F228" t="s">
        <v>405</v>
      </c>
      <c r="AA228" t="s">
        <v>368</v>
      </c>
    </row>
    <row r="229" spans="6:27" x14ac:dyDescent="0.3">
      <c r="F229" t="s">
        <v>387</v>
      </c>
      <c r="H229">
        <v>5</v>
      </c>
      <c r="AA229" t="s">
        <v>368</v>
      </c>
    </row>
    <row r="230" spans="6:27" x14ac:dyDescent="0.3">
      <c r="F230" t="s">
        <v>388</v>
      </c>
      <c r="H230">
        <v>5</v>
      </c>
      <c r="AA230" t="s">
        <v>368</v>
      </c>
    </row>
    <row r="231" spans="6:27" x14ac:dyDescent="0.3">
      <c r="F231" t="s">
        <v>389</v>
      </c>
      <c r="H231">
        <v>10</v>
      </c>
      <c r="AA231" t="s">
        <v>368</v>
      </c>
    </row>
    <row r="232" spans="6:27" x14ac:dyDescent="0.3">
      <c r="F232" t="s">
        <v>390</v>
      </c>
      <c r="H232">
        <v>10</v>
      </c>
      <c r="AA232" t="s">
        <v>368</v>
      </c>
    </row>
    <row r="233" spans="6:27" x14ac:dyDescent="0.3">
      <c r="F233" t="s">
        <v>391</v>
      </c>
      <c r="H233">
        <v>10</v>
      </c>
    </row>
    <row r="234" spans="6:27" x14ac:dyDescent="0.3">
      <c r="F234" t="s">
        <v>392</v>
      </c>
      <c r="H234">
        <v>10</v>
      </c>
    </row>
    <row r="235" spans="6:27" x14ac:dyDescent="0.3">
      <c r="F235" t="s">
        <v>393</v>
      </c>
      <c r="H235">
        <v>10</v>
      </c>
    </row>
    <row r="236" spans="6:27" x14ac:dyDescent="0.3">
      <c r="F236" t="s">
        <v>394</v>
      </c>
      <c r="H236">
        <v>10</v>
      </c>
    </row>
    <row r="237" spans="6:27" x14ac:dyDescent="0.3">
      <c r="F237" t="s">
        <v>395</v>
      </c>
      <c r="H237">
        <v>10</v>
      </c>
    </row>
    <row r="238" spans="6:27" x14ac:dyDescent="0.3">
      <c r="F238" t="s">
        <v>386</v>
      </c>
      <c r="G238">
        <v>1</v>
      </c>
      <c r="H238">
        <v>20</v>
      </c>
    </row>
    <row r="239" spans="6:27" x14ac:dyDescent="0.3">
      <c r="F239" t="s">
        <v>385</v>
      </c>
      <c r="G239">
        <v>1</v>
      </c>
      <c r="H239">
        <v>20</v>
      </c>
    </row>
  </sheetData>
  <dataValidations count="11">
    <dataValidation type="list" allowBlank="1" showInputMessage="1" showErrorMessage="1" sqref="B23:B26" xr:uid="{C8C3F257-2DB0-4624-898A-176B04005F71}">
      <formula1>ClassOptions</formula1>
    </dataValidation>
    <dataValidation type="list" allowBlank="1" showInputMessage="1" showErrorMessage="1" sqref="C2:C4 F2:F4" xr:uid="{0905FBAF-CE28-433C-8DF9-0E228E57D18A}">
      <formula1>UnitOptions</formula1>
    </dataValidation>
    <dataValidation type="list" allowBlank="1" showInputMessage="1" showErrorMessage="1" sqref="D2:D4 G2:G4" xr:uid="{524FFB22-A437-47D5-84B8-A86D4040AFF8}">
      <formula1>WeaponOptions</formula1>
    </dataValidation>
    <dataValidation type="list" allowBlank="1" showInputMessage="1" showErrorMessage="1" sqref="E2:E4 H2:H4" xr:uid="{661F5060-11D8-4DE2-815D-283C5427B02E}">
      <formula1>TerrainOptions</formula1>
    </dataValidation>
    <dataValidation type="list" allowBlank="1" showInputMessage="1" showErrorMessage="1" sqref="I2:J4 N23:Q26" xr:uid="{C29BA0E0-3424-40D5-B416-53801C5C5ED4}">
      <formula1>"TRUE, FALSE"</formula1>
    </dataValidation>
    <dataValidation type="list" allowBlank="1" showInputMessage="1" showErrorMessage="1" sqref="M23:M26" xr:uid="{733EF7F3-C53A-4210-B619-AC52D40EFB0E}">
      <formula1>SRankOptions</formula1>
    </dataValidation>
    <dataValidation type="whole" allowBlank="1" showInputMessage="1" showErrorMessage="1" sqref="C23:C26" xr:uid="{2E7047EE-AB5D-49ED-9ADA-D03F4F1DCFAD}">
      <formula1>1</formula1>
      <formula2>20</formula2>
    </dataValidation>
    <dataValidation type="whole" allowBlank="1" showInputMessage="1" showErrorMessage="1" sqref="D23:D26" xr:uid="{783C359E-7AFB-45CF-81E3-C555984D88B2}">
      <formula1>1</formula1>
      <formula2>IF(P23, 60, 120)</formula2>
    </dataValidation>
    <dataValidation type="whole" allowBlank="1" showInputMessage="1" showErrorMessage="1" sqref="E23:E26" xr:uid="{2D6E4349-F5BF-4AA4-850F-628B89055AAA}">
      <formula1>0</formula1>
      <formula2>D23</formula2>
    </dataValidation>
    <dataValidation type="whole" allowBlank="1" showInputMessage="1" showErrorMessage="1" sqref="F23:K26" xr:uid="{56CA92AF-5488-46AB-B832-52AADB9DB320}">
      <formula1>0</formula1>
      <formula2>30</formula2>
    </dataValidation>
    <dataValidation type="whole" allowBlank="1" showInputMessage="1" showErrorMessage="1" sqref="L23:L26" xr:uid="{F48A2F1E-66A7-4F42-B9DA-EA4B404F1B52}">
      <formula1>1</formula1>
      <formula2>25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2.Main">
                <anchor moveWithCells="1" sizeWithCells="1">
                  <from>
                    <xdr:col>0</xdr:col>
                    <xdr:colOff>0</xdr:colOff>
                    <xdr:row>4</xdr:row>
                    <xdr:rowOff>144780</xdr:rowOff>
                  </from>
                  <to>
                    <xdr:col>2</xdr:col>
                    <xdr:colOff>99060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7"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2B656-36E1-4910-8E6F-6080441C142C}">
  <sheetPr codeName="Sheet1"/>
  <dimension ref="A1:E19"/>
  <sheetViews>
    <sheetView workbookViewId="0">
      <selection activeCell="A2" sqref="A2"/>
    </sheetView>
  </sheetViews>
  <sheetFormatPr defaultRowHeight="14.4" x14ac:dyDescent="0.3"/>
  <sheetData>
    <row r="1" spans="1:5" x14ac:dyDescent="0.3">
      <c r="A1" t="s">
        <v>53</v>
      </c>
      <c r="B1" t="s">
        <v>50</v>
      </c>
      <c r="C1" t="s">
        <v>56</v>
      </c>
      <c r="D1" t="s">
        <v>47</v>
      </c>
      <c r="E1" t="s">
        <v>380</v>
      </c>
    </row>
    <row r="2" spans="1:5" x14ac:dyDescent="0.3">
      <c r="A2">
        <v>24</v>
      </c>
      <c r="B2">
        <v>45</v>
      </c>
      <c r="C2">
        <v>12</v>
      </c>
      <c r="D2">
        <v>11</v>
      </c>
      <c r="E2">
        <v>0.26505955726991454</v>
      </c>
    </row>
    <row r="3" spans="1:5" x14ac:dyDescent="0.3">
      <c r="A3">
        <v>24</v>
      </c>
      <c r="B3">
        <v>45</v>
      </c>
      <c r="C3">
        <v>12</v>
      </c>
      <c r="D3">
        <v>30</v>
      </c>
      <c r="E3">
        <v>0.12918891706345628</v>
      </c>
    </row>
    <row r="4" spans="1:5" x14ac:dyDescent="0.3">
      <c r="A4">
        <v>24</v>
      </c>
      <c r="B4">
        <v>45</v>
      </c>
      <c r="C4">
        <v>0</v>
      </c>
      <c r="D4">
        <v>30</v>
      </c>
      <c r="E4">
        <v>0.10347715921462922</v>
      </c>
    </row>
    <row r="5" spans="1:5" x14ac:dyDescent="0.3">
      <c r="A5">
        <v>24</v>
      </c>
      <c r="B5">
        <v>45</v>
      </c>
      <c r="C5">
        <v>21</v>
      </c>
      <c r="D5">
        <v>11</v>
      </c>
      <c r="E5">
        <v>0.17571441044290945</v>
      </c>
    </row>
    <row r="6" spans="1:5" x14ac:dyDescent="0.3">
      <c r="A6">
        <v>24</v>
      </c>
      <c r="B6">
        <v>45</v>
      </c>
      <c r="C6">
        <v>21</v>
      </c>
      <c r="D6">
        <v>30</v>
      </c>
      <c r="E6">
        <v>8.5642467041650544E-2</v>
      </c>
    </row>
    <row r="7" spans="1:5" x14ac:dyDescent="0.3">
      <c r="A7">
        <v>24</v>
      </c>
      <c r="B7">
        <v>45</v>
      </c>
      <c r="C7">
        <v>3</v>
      </c>
      <c r="D7">
        <v>11</v>
      </c>
      <c r="E7">
        <v>2.1717511403056226E-2</v>
      </c>
    </row>
    <row r="8" spans="1:5" x14ac:dyDescent="0.3">
      <c r="A8">
        <v>24</v>
      </c>
      <c r="B8">
        <v>45</v>
      </c>
      <c r="C8">
        <v>3</v>
      </c>
      <c r="D8">
        <v>30</v>
      </c>
      <c r="E8">
        <v>1.0585024016383778E-2</v>
      </c>
    </row>
    <row r="9" spans="1:5" x14ac:dyDescent="0.3">
      <c r="A9">
        <v>24</v>
      </c>
      <c r="B9">
        <v>45</v>
      </c>
      <c r="C9">
        <v>30</v>
      </c>
      <c r="D9">
        <v>11</v>
      </c>
      <c r="E9">
        <v>2.9121336309577167E-2</v>
      </c>
    </row>
    <row r="10" spans="1:5" x14ac:dyDescent="0.3">
      <c r="A10">
        <v>24</v>
      </c>
      <c r="B10">
        <v>45</v>
      </c>
      <c r="C10">
        <v>30</v>
      </c>
      <c r="D10">
        <v>30</v>
      </c>
      <c r="E10">
        <v>1.4193617238422829E-2</v>
      </c>
    </row>
    <row r="11" spans="1:5" x14ac:dyDescent="0.3">
      <c r="A11">
        <v>35</v>
      </c>
      <c r="B11">
        <v>45</v>
      </c>
      <c r="C11">
        <v>12</v>
      </c>
      <c r="D11">
        <v>11</v>
      </c>
      <c r="E11">
        <v>5.2491128329599714E-2</v>
      </c>
    </row>
    <row r="12" spans="1:5" x14ac:dyDescent="0.3">
      <c r="A12">
        <v>35</v>
      </c>
      <c r="B12">
        <v>45</v>
      </c>
      <c r="C12">
        <v>12</v>
      </c>
      <c r="D12">
        <v>30</v>
      </c>
      <c r="E12">
        <v>2.55839559010295E-2</v>
      </c>
    </row>
    <row r="13" spans="1:5" x14ac:dyDescent="0.3">
      <c r="A13">
        <v>35</v>
      </c>
      <c r="B13">
        <v>45</v>
      </c>
      <c r="C13">
        <v>0</v>
      </c>
      <c r="D13">
        <v>30</v>
      </c>
      <c r="E13">
        <v>2.0492122221370802E-2</v>
      </c>
    </row>
    <row r="14" spans="1:5" x14ac:dyDescent="0.3">
      <c r="A14">
        <v>35</v>
      </c>
      <c r="B14">
        <v>45</v>
      </c>
      <c r="C14">
        <v>21</v>
      </c>
      <c r="D14">
        <v>11</v>
      </c>
      <c r="E14">
        <v>3.4797642322047365E-2</v>
      </c>
    </row>
    <row r="15" spans="1:5" x14ac:dyDescent="0.3">
      <c r="A15">
        <v>35</v>
      </c>
      <c r="B15">
        <v>45</v>
      </c>
      <c r="C15">
        <v>21</v>
      </c>
      <c r="D15">
        <v>30</v>
      </c>
      <c r="E15">
        <v>1.6960224993392642E-2</v>
      </c>
    </row>
    <row r="16" spans="1:5" x14ac:dyDescent="0.3">
      <c r="A16">
        <v>35</v>
      </c>
      <c r="B16">
        <v>45</v>
      </c>
      <c r="C16">
        <v>3</v>
      </c>
      <c r="D16">
        <v>11</v>
      </c>
      <c r="E16">
        <v>4.3008321971069775E-3</v>
      </c>
    </row>
    <row r="17" spans="1:5" x14ac:dyDescent="0.3">
      <c r="A17">
        <v>35</v>
      </c>
      <c r="B17">
        <v>45</v>
      </c>
      <c r="C17">
        <v>3</v>
      </c>
      <c r="D17">
        <v>30</v>
      </c>
      <c r="E17">
        <v>2.096207583453023E-3</v>
      </c>
    </row>
    <row r="18" spans="1:5" x14ac:dyDescent="0.3">
      <c r="A18">
        <v>35</v>
      </c>
      <c r="B18">
        <v>45</v>
      </c>
      <c r="C18">
        <v>30</v>
      </c>
      <c r="D18">
        <v>11</v>
      </c>
      <c r="E18">
        <v>5.7670503078628334E-3</v>
      </c>
    </row>
    <row r="19" spans="1:5" x14ac:dyDescent="0.3">
      <c r="A19">
        <v>35</v>
      </c>
      <c r="B19">
        <v>45</v>
      </c>
      <c r="C19">
        <v>30</v>
      </c>
      <c r="D19">
        <v>30</v>
      </c>
      <c r="E19">
        <v>2.8108361441371685E-3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Battle</vt:lpstr>
      <vt:lpstr>Results</vt:lpstr>
      <vt:lpstr>Battle!ClassOptions</vt:lpstr>
      <vt:lpstr>Battle!SRankOptions</vt:lpstr>
      <vt:lpstr>Battle!TerrainOptions</vt:lpstr>
      <vt:lpstr>Battle!UnitOptions</vt:lpstr>
      <vt:lpstr>Battle!WeaponOptions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Kavithasan P</dc:creator>
  <cp:lastModifiedBy>Kavithasan P</cp:lastModifiedBy>
  <dcterms:created xsi:type="dcterms:W3CDTF">2025-08-05T15:31:57Z</dcterms:created>
  <dcterms:modified xsi:type="dcterms:W3CDTF">2025-08-05T20:35:35Z</dcterms:modified>
</cp:coreProperties>
</file>