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avithasan P\Desktop\"/>
    </mc:Choice>
  </mc:AlternateContent>
  <xr:revisionPtr revIDLastSave="0" documentId="8_{2FE39FA7-9288-4CAB-9137-F158CC72B523}" xr6:coauthVersionLast="47" xr6:coauthVersionMax="47" xr10:uidLastSave="{00000000-0000-0000-0000-000000000000}"/>
  <bookViews>
    <workbookView xWindow="-108" yWindow="-108" windowWidth="23256" windowHeight="12456" xr2:uid="{2784E7E5-FA2A-4DE2-AB80-6D4F66A563D8}"/>
  </bookViews>
  <sheets>
    <sheet name="Duel" sheetId="2" r:id="rId1"/>
    <sheet name="Sheet1" sheetId="1" r:id="rId2"/>
  </sheets>
  <functionGroups builtInGroupCount="19"/>
  <externalReferences>
    <externalReference r:id="rId3"/>
  </externalReferences>
  <definedNames>
    <definedName name="_xlpm.a" hidden="1" xlm="1">#NAME?</definedName>
    <definedName name="_xlpm.aCap" hidden="1" xlm="1">#NAME?</definedName>
    <definedName name="_xlpm.ad" hidden="1" xlm="1">#NAME?</definedName>
    <definedName name="_xlpm.adv" hidden="1" xlm="1">#NAME?</definedName>
    <definedName name="_xlpm.affinities" hidden="1" xlm="1">#NAME?</definedName>
    <definedName name="_xlpm.affinity" hidden="1" xlm="1">#NAME?</definedName>
    <definedName name="_xlpm.ank" hidden="1" xlm="1">#NAME?</definedName>
    <definedName name="_xlpm.at" hidden="1" xlm="1">#NAME?</definedName>
    <definedName name="_xlpm.atkAdv" hidden="1" xlm="1">#NAME?</definedName>
    <definedName name="_xlpm.atkFili" hidden="1" xlm="1">#NAME?</definedName>
    <definedName name="_xlpm.atkIndex" hidden="1" xlm="1">#NAME?</definedName>
    <definedName name="_xlpm.atkReav" hidden="1" xlm="1">#NAME?</definedName>
    <definedName name="_xlpm.atkTri" hidden="1" xlm="1">#NAME?</definedName>
    <definedName name="_xlpm.att" hidden="1" xlm="1">#NAME?</definedName>
    <definedName name="_xlpm.atta" hidden="1" xlm="1">#NAME?</definedName>
    <definedName name="_xlpm.attac" hidden="1" xlm="1">#NAME?</definedName>
    <definedName name="_xlpm.attack" hidden="1" xlm="1">#NAME?</definedName>
    <definedName name="_xlpm.attacke" hidden="1" xlm="1">#NAME?</definedName>
    <definedName name="_xlpm.attacker" hidden="1" xlm="1">#NAME?</definedName>
    <definedName name="_xlpm.avgs" hidden="1" xlm="1">#NAME?</definedName>
    <definedName name="_xlpm.b" hidden="1" xlm="1">#NAME?</definedName>
    <definedName name="_xlpm.bCap" hidden="1" xlm="1">#NAME?</definedName>
    <definedName name="_xlpm.bishopMulti" hidden="1" xlm="1">#NAME?</definedName>
    <definedName name="_xlpm.bonus" hidden="1" xlm="1">#NAME?</definedName>
    <definedName name="_xlpm.bonusCols" hidden="1" xlm="1">#NAME?</definedName>
    <definedName name="_xlpm.bonusRow" hidden="1" xlm="1">#NAME?</definedName>
    <definedName name="_xlpm.bonusTypes" hidden="1" xlm="1">#NAME?</definedName>
    <definedName name="_xlpm.bonusValue" hidden="1" xlm="1">#NAME?</definedName>
    <definedName name="_xlpm.boosterBefore" hidden="1" xlm="1">#NAME?</definedName>
    <definedName name="_xlpm.boostersAfter" hidden="1" xlm="1">#NAME?</definedName>
    <definedName name="_xlpm.boostersBefore" hidden="1" xlm="1">#NAME?</definedName>
    <definedName name="_xlpm.c" hidden="1" xlm="1">#NAME?</definedName>
    <definedName name="_xlpm.c1avgs" hidden="1" xlm="1">#NAME?</definedName>
    <definedName name="_xlpm.ca" hidden="1" xlm="1">#NAME?</definedName>
    <definedName name="_xlpm.can" hidden="1" xlm="1">#NAME?</definedName>
    <definedName name="_xlpm.canA" hidden="1" xlm="1">#NAME?</definedName>
    <definedName name="_xlpm.canAt" hidden="1" xlm="1">#NAME?</definedName>
    <definedName name="_xlpm.canAtt" hidden="1" xlm="1">#NAME?</definedName>
    <definedName name="_xlpm.canAtta" hidden="1" xlm="1">#NAME?</definedName>
    <definedName name="_xlpm.canAttac" hidden="1" xlm="1">#NAME?</definedName>
    <definedName name="_xlpm.canAttack" hidden="1" xlm="1">#NAME?</definedName>
    <definedName name="_xlpm.cavgs" hidden="1" xlm="1">#NAME?</definedName>
    <definedName name="_xlpm.cffinity" hidden="1" xlm="1">#NAME?</definedName>
    <definedName name="_xlpm.chaffinity" hidden="1" xlm="1">#NAME?</definedName>
    <definedName name="_xlpm.char" hidden="1" xlm="1">#NAME?</definedName>
    <definedName name="_xlpm.charaffinity" hidden="1" xlm="1">#NAME?</definedName>
    <definedName name="_xlpm.charffinity" hidden="1" xlm="1">#NAME?</definedName>
    <definedName name="_xlpm.charMatch" hidden="1" xlm="1">#NAME?</definedName>
    <definedName name="_xlpm.chars" hidden="1" xlm="1">#NAME?</definedName>
    <definedName name="_xlpm.chffinity" hidden="1" xlm="1">#NAME?</definedName>
    <definedName name="_xlpm.cI" hidden="1" xlm="1">#NAME?</definedName>
    <definedName name="_xlpm.cIn" hidden="1" xlm="1">#NAME?</definedName>
    <definedName name="_xlpm.cIni" hidden="1" xlm="1">#NAME?</definedName>
    <definedName name="_xlpm.cInit" hidden="1" xlm="1">#NAME?</definedName>
    <definedName name="_xlpm.cIniti" hidden="1" xlm="1">#NAME?</definedName>
    <definedName name="_xlpm.cInitia" hidden="1" xlm="1">#NAME?</definedName>
    <definedName name="_xlpm.cInitial" hidden="1" xlm="1">#NAME?</definedName>
    <definedName name="_xlpm.classData" hidden="1" xlm="1">#NAME?</definedName>
    <definedName name="_xlpm.cO" hidden="1" xlm="1">#NAME?</definedName>
    <definedName name="_xlpm.cOn" hidden="1" xlm="1">#NAME?</definedName>
    <definedName name="_xlpm.cOne" hidden="1" xlm="1">#NAME?</definedName>
    <definedName name="_xlpm.count" hidden="1" xlm="1">#NAME?</definedName>
    <definedName name="_xlpm.d" hidden="1" xlm="1">#NAME?</definedName>
    <definedName name="_xlpm.data" hidden="1" xlm="1">#NAME?</definedName>
    <definedName name="_xlpm.def" hidden="1" xlm="1">#NAME?</definedName>
    <definedName name="_xlpm.defFili" hidden="1" xlm="1">#NAME?</definedName>
    <definedName name="_xlpm.defReav" hidden="1" xlm="1">#NAME?</definedName>
    <definedName name="_xlpm.defWpnTri" hidden="1" xlm="1">#NAME?</definedName>
    <definedName name="_xlpm.e" hidden="1" xlm="1">#NAME?</definedName>
    <definedName name="_xlpm.eeff" hidden="1" xlm="1">#NAME?</definedName>
    <definedName name="_xlpm.efeff" hidden="1" xlm="1">#NAME?</definedName>
    <definedName name="_xlpm.eff" hidden="1" xlm="1">#NAME?</definedName>
    <definedName name="_xlpm.effeff" hidden="1" xlm="1">#NAME?</definedName>
    <definedName name="_xlpm.effMeff" hidden="1" xlm="1">#NAME?</definedName>
    <definedName name="_xlpm.effMueff" hidden="1" xlm="1">#NAME?</definedName>
    <definedName name="_xlpm.effMuleff" hidden="1" xlm="1">#NAME?</definedName>
    <definedName name="_xlpm.effMulteff" hidden="1" xlm="1">#NAME?</definedName>
    <definedName name="_xlpm.effMulti" hidden="1" xlm="1">#NAME?</definedName>
    <definedName name="_xlpm.effMultieff" hidden="1" xlm="1">#NAME?</definedName>
    <definedName name="_xlpm.enemyLck" hidden="1" xlm="1">#NAME?</definedName>
    <definedName name="_xlpm.enemySpd" hidden="1" xlm="1">#NAME?</definedName>
    <definedName name="_xlpm.enemyTerBonus" hidden="1" xlm="1">#NAME?</definedName>
    <definedName name="_xlpm.enemyTerMulti" hidden="1" xlm="1">#NAME?</definedName>
    <definedName name="_xlpm.ExpType" hidden="1" xlm="1">#NAME?</definedName>
    <definedName name="_xlpm.ffinity" hidden="1" xlm="1">#NAME?</definedName>
    <definedName name="_xlpm.filtered" hidden="1" xlm="1">#NAME?</definedName>
    <definedName name="_xlpm.finalMulti" hidden="1" xlm="1">#NAME?</definedName>
    <definedName name="_xlpm.g" hidden="1" xlm="1">#NAME?</definedName>
    <definedName name="_xlpm.i" hidden="1" xlm="1">#NAME?</definedName>
    <definedName name="_xlpm.ignores" hidden="1" xlm="1">#NAME?</definedName>
    <definedName name="_xlpm.ilayable" hidden="1" xlm="1">#NAME?</definedName>
    <definedName name="_xlpm.include" hidden="1" xlm="1">#NAME?</definedName>
    <definedName name="_xlpm.islayable" hidden="1" xlm="1">#NAME?</definedName>
    <definedName name="_xlpm.isMagic" hidden="1" xlm="1">#NAME?</definedName>
    <definedName name="_xlpm.isPlayable" hidden="1" xlm="1">#NAME?</definedName>
    <definedName name="_xlpm.isWeak" hidden="1" xlm="1">#NAME?</definedName>
    <definedName name="_xlpm.keepRows" hidden="1" xlm="1">#NAME?</definedName>
    <definedName name="_xlpm.l" hidden="1" xlm="1">#NAME?</definedName>
    <definedName name="_xlpm.layable" hidden="1" xlm="1">#NAME?</definedName>
    <definedName name="_xlpm.Lck" hidden="1" xlm="1">#NAME?</definedName>
    <definedName name="_xlpm.lckwpnHit" hidden="1" xlm="1">#NAME?</definedName>
    <definedName name="_xlpm.lcwpnHit" hidden="1" xlm="1">#NAME?</definedName>
    <definedName name="_xlpm.lv" hidden="1" xlm="1">#NAME?</definedName>
    <definedName name="_xlpm.lvl" hidden="1" xlm="1">#NAME?</definedName>
    <definedName name="_xlpm.lvlA" hidden="1" xlm="1">#NAME?</definedName>
    <definedName name="_xlpm.lvlB" hidden="1" xlm="1">#NAME?</definedName>
    <definedName name="_xlpm.lvlG" hidden="1" xlm="1">#NAME?</definedName>
    <definedName name="_xlpm.lvlS" hidden="1" xlm="1">#NAME?</definedName>
    <definedName name="_xlpm.lvlU" hidden="1" xlm="1">#NAME?</definedName>
    <definedName name="_xlpm.lvlUp" hidden="1" xlm="1">#NAME?</definedName>
    <definedName name="_xlpm.lvlUpN" hidden="1" xlm="1">#NAME?</definedName>
    <definedName name="_xlpm.lvlUpNB" hidden="1" xlm="1">#NAME?</definedName>
    <definedName name="_xlpm.lvlUpO" hidden="1" xlm="1">#NAME?</definedName>
    <definedName name="_xlpm.lvlUpOn" hidden="1" xlm="1">#NAME?</definedName>
    <definedName name="_xlpm.lvlUpOne" hidden="1" xlm="1">#NAME?</definedName>
    <definedName name="_xlpm.lvlUps" hidden="1" xlm="1">#NAME?</definedName>
    <definedName name="_xlpm.lwpnHit" hidden="1" xlm="1">#NAME?</definedName>
    <definedName name="_xlpm.MagicSword" hidden="1" xlm="1">#NAME?</definedName>
    <definedName name="_xlpm.MagicSwordwpnDmg" hidden="1" xlm="1">#NAME?</definedName>
    <definedName name="_xlpm.MagicSworwpnDmg" hidden="1" xlm="1">#NAME?</definedName>
    <definedName name="_xlpm.MagicSwowpnDmg" hidden="1" xlm="1">#NAME?</definedName>
    <definedName name="_xlpm.MagicSwpnDmg" hidden="1" xlm="1">#NAME?</definedName>
    <definedName name="_xlpm.MagicSwwpnDmg" hidden="1" xlm="1">#NAME?</definedName>
    <definedName name="_xlpm.MagicwpnDmg" hidden="1" xlm="1">#NAME?</definedName>
    <definedName name="_xlpm.MagiwpnDmg" hidden="1" xlm="1">#NAME?</definedName>
    <definedName name="_xlpm.MagwpnDmg" hidden="1" xlm="1">#NAME?</definedName>
    <definedName name="_xlpm.MawpnDmg" hidden="1" xlm="1">#NAME?</definedName>
    <definedName name="_xlpm.multiplier" hidden="1" xlm="1">#NAME?</definedName>
    <definedName name="_xlpm.multiReav" hidden="1" xlm="1">#NAME?</definedName>
    <definedName name="_xlpm.MwpnDmg" hidden="1" xlm="1">#NAME?</definedName>
    <definedName name="_xlpm.nameMatch" hidden="1" xlm="1">#NAME?</definedName>
    <definedName name="_xlpm.nonBlank" hidden="1" xlm="1">#NAME?</definedName>
    <definedName name="_xlpm.options" hidden="1" xlm="1">#NAME?</definedName>
    <definedName name="_xlpm.p" hidden="1" xlm="1">#NAME?</definedName>
    <definedName name="_xlpm.pairKey" hidden="1" xlm="1">#NAME?</definedName>
    <definedName name="_xlpm.pairKeys" hidden="1" xlm="1">#NAME?</definedName>
    <definedName name="_xlpm.pairs" hidden="1" xlm="1">#NAME?</definedName>
    <definedName name="_xlpm.partners" hidden="1" xlm="1">#NAME?</definedName>
    <definedName name="_xlpm.pathB" hidden="1" xlm="1">#NAME?</definedName>
    <definedName name="_xlpm.pathT" hidden="1" xlm="1">#NAME?</definedName>
    <definedName name="_xlpm.pClass" hidden="1" xlm="1">#NAME?</definedName>
    <definedName name="_xlpm.playable" hidden="1" xlm="1">#NAME?</definedName>
    <definedName name="_xlpm.promotes" hidden="1" xlm="1">#NAME?</definedName>
    <definedName name="_xlpm.pT" hidden="1" xlm="1">#NAME?</definedName>
    <definedName name="_xlpm.r" hidden="1" xlm="1">#NAME?</definedName>
    <definedName name="_xlpm.rank" hidden="1" xlm="1">#NAME?</definedName>
    <definedName name="_xlpm.rankBonus" hidden="1" xlm="1">#NAME?</definedName>
    <definedName name="_xlpm.ranks" hidden="1" xlm="1">#NAME?</definedName>
    <definedName name="_xlpm.res" hidden="1" xlm="1">#NAME?</definedName>
    <definedName name="_xlpm.results" hidden="1" xlm="1">#NAME?</definedName>
    <definedName name="_xlpm.revPairs" hidden="1" xlm="1">#NAME?</definedName>
    <definedName name="_xlpm.route" hidden="1" xlm="1">#NAME?</definedName>
    <definedName name="_xlpm.rp" hidden="1" xlm="1">#NAME?</definedName>
    <definedName name="_xlpm.s" hidden="1" xlm="1">#NAME?</definedName>
    <definedName name="_xlpm.S_" hidden="1" xlm="1">#NAME?</definedName>
    <definedName name="_xlpm.S_M" hidden="1" xlm="1">#NAME?</definedName>
    <definedName name="_xlpm.score" hidden="1" xlm="1">#NAME?</definedName>
    <definedName name="_xlpm.Skl" hidden="1" xlm="1">#NAME?</definedName>
    <definedName name="_xlpm.Sm" hidden="1" xlm="1">#NAME?</definedName>
    <definedName name="_xlpm.spd" hidden="1" xlm="1">#NAME?</definedName>
    <definedName name="_xlpm.statBefore" hidden="1" xlm="1">#NAME?</definedName>
    <definedName name="_xlpm.tbl" hidden="1" xlm="1">#NAME?</definedName>
    <definedName name="_xlpm.triBonus" hidden="1" xlm="1">#NAME?</definedName>
    <definedName name="_xlpm.triIndex" hidden="1" xlm="1">#NAME?</definedName>
    <definedName name="_xlpm.truePromotes" hidden="1" xlm="1">#NAME?</definedName>
    <definedName name="_xlpm.type" hidden="1" xlm="1">#NAME?</definedName>
    <definedName name="_xlpm.u" hidden="1" xlm="1">#NAME?</definedName>
    <definedName name="_xlpm.un" hidden="1" xlm="1">#NAME?</definedName>
    <definedName name="_xlpm.uni" hidden="1" xlm="1">#NAME?</definedName>
    <definedName name="_xlpm.unit" hidden="1" xlm="1">#NAME?</definedName>
    <definedName name="_xlpm.unitD" hidden="1" xlm="1">#NAME?</definedName>
    <definedName name="_xlpm.unitDm" hidden="1" xlm="1">#NAME?</definedName>
    <definedName name="_xlpm.unitDmg" hidden="1" xlm="1">#NAME?</definedName>
    <definedName name="_xlpm.unitS_M" hidden="1" xlm="1">#NAME?</definedName>
    <definedName name="_xlpm.used" hidden="1" xlm="1">#NAME?</definedName>
    <definedName name="_xlpm.valid" hidden="1" xlm="1">#NAME?</definedName>
    <definedName name="_xlpm.validOptions" hidden="1" xlm="1">#NAME?</definedName>
    <definedName name="_xlpm.W" hidden="1" xlm="1">#NAME?</definedName>
    <definedName name="_xlpm.weak" hidden="1" xlm="1">#NAME?</definedName>
    <definedName name="_xlpm.weakCount" hidden="1" xlm="1">#NAME?</definedName>
    <definedName name="_xlpm.weightMod" hidden="1" xlm="1">#NAME?</definedName>
    <definedName name="_xlpm.Wpn" hidden="1" xlm="1">#NAME?</definedName>
    <definedName name="_xlpm.wpnDmg" hidden="1" xlm="1">#NAME?</definedName>
    <definedName name="_xlpm.wpnHit" hidden="1" xlm="1">#NAME?</definedName>
    <definedName name="_xlpm.wpnMulti" hidden="1" xlm="1">#NAME?</definedName>
    <definedName name="_xlpm.WT" hidden="1" xlm="1">#NAME?</definedName>
    <definedName name="_xlpm.WTA" hidden="1" xlm="1">#NAME?</definedName>
    <definedName name="_xlpm.WTD" hidden="1" xlm="1">#NAME?</definedName>
    <definedName name="_xlpm.x" hidden="1" xlm="1">#NAME?</definedName>
    <definedName name="_xlpm.y" hidden="1" xlm="1">#NAME?</definedName>
    <definedName name="UnitOptions">[1]!Bases[Name]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72" i="2" l="1" a="1"/>
  <c r="M172" i="2" s="1"/>
  <c r="AT4" i="2"/>
  <c r="AS4" i="2"/>
  <c r="AQ4" i="2"/>
  <c r="AA4" i="2" s="1" a="1"/>
  <c r="AA4" i="2" s="1"/>
  <c r="AG4" i="2" s="1" a="1"/>
  <c r="AG4" i="2" s="1"/>
  <c r="AP4" i="2"/>
  <c r="W4" i="2" s="1" a="1"/>
  <c r="W4" i="2" s="1"/>
  <c r="AO4" i="2"/>
  <c r="AM4" i="2"/>
  <c r="AL4" i="2" a="1"/>
  <c r="AL4" i="2" s="1"/>
  <c r="AK4" i="2" a="1"/>
  <c r="AK4" i="2" s="1"/>
  <c r="AJ4" i="2" a="1"/>
  <c r="AJ4" i="2" s="1"/>
  <c r="AF4" i="2" a="1"/>
  <c r="AF4" i="2" s="1"/>
  <c r="AC4" i="2" a="1"/>
  <c r="AC4" i="2" s="1"/>
  <c r="Q4" i="2" s="1" a="1"/>
  <c r="Q4" i="2" s="1"/>
  <c r="AB4" i="2" a="1"/>
  <c r="AB4" i="2" s="1"/>
  <c r="Y4" i="2" a="1"/>
  <c r="Y4" i="2" s="1"/>
  <c r="AR4" i="2" s="1"/>
  <c r="X4" i="2" a="1"/>
  <c r="X4" i="2" s="1"/>
  <c r="U4" i="2" a="1"/>
  <c r="U4" i="2" s="1"/>
  <c r="O4" i="2" a="1"/>
  <c r="O4" i="2" s="1"/>
  <c r="N4" i="2" a="1"/>
  <c r="N4" i="2" s="1"/>
  <c r="M4" i="2" a="1"/>
  <c r="M4" i="2" s="1"/>
  <c r="L4" i="2" a="1"/>
  <c r="L4" i="2" s="1"/>
  <c r="K4" i="2" a="1"/>
  <c r="K4" i="2" s="1"/>
  <c r="J4" i="2" a="1"/>
  <c r="J4" i="2" s="1"/>
  <c r="AN4" i="2" s="1"/>
  <c r="I4" i="2" a="1"/>
  <c r="I4" i="2" s="1"/>
  <c r="AU3" i="2" a="1"/>
  <c r="AU3" i="2" s="1"/>
  <c r="AT3" i="2"/>
  <c r="AS3" i="2"/>
  <c r="AQ3" i="2"/>
  <c r="AD3" i="2" s="1" a="1"/>
  <c r="AD3" i="2" s="1"/>
  <c r="AP3" i="2"/>
  <c r="AO3" i="2"/>
  <c r="AM3" i="2"/>
  <c r="N3" i="2" s="1" a="1"/>
  <c r="N3" i="2" s="1"/>
  <c r="AF3" i="2" s="1" a="1"/>
  <c r="AF3" i="2" s="1"/>
  <c r="AL3" i="2" a="1"/>
  <c r="AL3" i="2" s="1"/>
  <c r="AK3" i="2" a="1"/>
  <c r="AK3" i="2" s="1"/>
  <c r="AJ3" i="2" a="1"/>
  <c r="AJ3" i="2" s="1"/>
  <c r="AC3" i="2" a="1"/>
  <c r="AC3" i="2" s="1"/>
  <c r="Q3" i="2" s="1" a="1"/>
  <c r="Q3" i="2" s="1"/>
  <c r="AB3" i="2" a="1"/>
  <c r="AB3" i="2" s="1"/>
  <c r="AA3" i="2" a="1"/>
  <c r="AA3" i="2" s="1"/>
  <c r="Y3" i="2" a="1"/>
  <c r="Y3" i="2" s="1"/>
  <c r="AR3" i="2" s="1"/>
  <c r="X3" i="2" a="1"/>
  <c r="X3" i="2" s="1"/>
  <c r="W3" i="2" a="1"/>
  <c r="W3" i="2" s="1"/>
  <c r="V3" i="2" a="1"/>
  <c r="V3" i="2" s="1"/>
  <c r="U3" i="2" a="1"/>
  <c r="U3" i="2" s="1"/>
  <c r="O3" i="2" a="1"/>
  <c r="O3" i="2" s="1"/>
  <c r="M3" i="2" a="1"/>
  <c r="M3" i="2" s="1"/>
  <c r="L3" i="2" a="1"/>
  <c r="L3" i="2" s="1"/>
  <c r="K3" i="2" a="1"/>
  <c r="K3" i="2" s="1"/>
  <c r="I3" i="2" a="1"/>
  <c r="I3" i="2" s="1"/>
  <c r="AU2" i="2" a="1"/>
  <c r="AU2" i="2" s="1"/>
  <c r="AT2" i="2"/>
  <c r="AS2" i="2"/>
  <c r="AQ2" i="2"/>
  <c r="AP2" i="2"/>
  <c r="AO2" i="2"/>
  <c r="AM2" i="2"/>
  <c r="AL2" i="2" a="1"/>
  <c r="AL2" i="2" s="1"/>
  <c r="AK2" i="2" a="1"/>
  <c r="AK2" i="2" s="1"/>
  <c r="AJ2" i="2" a="1"/>
  <c r="AJ2" i="2" s="1"/>
  <c r="AD2" i="2" a="1"/>
  <c r="AD2" i="2" s="1"/>
  <c r="AC2" i="2" a="1"/>
  <c r="AC2" i="2" s="1"/>
  <c r="AB2" i="2" a="1"/>
  <c r="AB2" i="2" s="1"/>
  <c r="AA2" i="2" a="1"/>
  <c r="AA2" i="2" s="1"/>
  <c r="Z2" i="2" a="1"/>
  <c r="Z2" i="2" s="1"/>
  <c r="Y2" i="2" a="1"/>
  <c r="Y2" i="2" s="1"/>
  <c r="AR2" i="2" s="1"/>
  <c r="X2" i="2" a="1"/>
  <c r="X2" i="2" s="1"/>
  <c r="W2" i="2" a="1"/>
  <c r="W2" i="2" s="1"/>
  <c r="V2" i="2" a="1"/>
  <c r="V2" i="2" s="1"/>
  <c r="U2" i="2" a="1"/>
  <c r="U2" i="2" s="1"/>
  <c r="O2" i="2" a="1"/>
  <c r="O2" i="2" s="1"/>
  <c r="K2" i="2" a="1"/>
  <c r="K2" i="2" s="1"/>
  <c r="AH2" i="2" l="1" a="1"/>
  <c r="AH2" i="2" s="1"/>
  <c r="AI2" i="2" a="1"/>
  <c r="AI2" i="2" s="1"/>
  <c r="AI3" i="2" a="1"/>
  <c r="AI3" i="2" s="1"/>
  <c r="AH3" i="2" a="1"/>
  <c r="AH3" i="2" s="1"/>
  <c r="P3" i="2" a="1"/>
  <c r="P3" i="2" s="1"/>
  <c r="R2" i="2" a="1"/>
  <c r="R2" i="2" s="1"/>
  <c r="AI4" i="2" a="1"/>
  <c r="AI4" i="2" s="1"/>
  <c r="T4" i="2" a="1"/>
  <c r="T4" i="2" s="1"/>
  <c r="S4" i="2" a="1"/>
  <c r="S4" i="2" s="1"/>
  <c r="P2" i="2" a="1"/>
  <c r="P2" i="2" s="1"/>
  <c r="L2" i="2" a="1"/>
  <c r="L2" i="2" s="1"/>
  <c r="V4" i="2" a="1"/>
  <c r="V4" i="2" s="1"/>
  <c r="Z4" i="2" a="1"/>
  <c r="Z4" i="2" s="1"/>
  <c r="AD4" i="2" a="1"/>
  <c r="AD4" i="2" s="1"/>
  <c r="AH4" i="2" a="1"/>
  <c r="AH4" i="2" s="1"/>
  <c r="R3" i="2" a="1"/>
  <c r="R3" i="2" s="1"/>
  <c r="AU4" i="2" a="1"/>
  <c r="AU4" i="2" s="1"/>
  <c r="R4" i="2" s="1" a="1"/>
  <c r="R4" i="2" s="1"/>
  <c r="Q2" i="2" a="1"/>
  <c r="Q2" i="2" s="1"/>
  <c r="J3" i="2" a="1"/>
  <c r="J3" i="2" s="1"/>
  <c r="AN3" i="2" s="1"/>
  <c r="AG3" i="2" s="1" a="1"/>
  <c r="AG3" i="2" s="1"/>
  <c r="Z3" i="2" a="1"/>
  <c r="Z3" i="2" s="1"/>
  <c r="M2" i="2" a="1"/>
  <c r="M2" i="2" s="1"/>
  <c r="I2" i="2" a="1"/>
  <c r="I2" i="2" s="1"/>
  <c r="J2" i="2" a="1"/>
  <c r="J2" i="2" s="1"/>
  <c r="AN2" i="2" s="1"/>
  <c r="N2" i="2" a="1"/>
  <c r="N2" i="2" s="1"/>
  <c r="AF2" i="2" s="1" a="1"/>
  <c r="AF2" i="2" s="1"/>
  <c r="AE2" i="2" l="1" a="1"/>
  <c r="AE2" i="2" s="1"/>
  <c r="T2" i="2" a="1"/>
  <c r="T2" i="2" s="1"/>
  <c r="S2" i="2" a="1"/>
  <c r="S2" i="2" s="1"/>
  <c r="AE4" i="2" a="1"/>
  <c r="AE4" i="2" s="1"/>
  <c r="AG2" i="2" a="1"/>
  <c r="AG2" i="2" s="1"/>
  <c r="P4" i="2" a="1"/>
  <c r="P4" i="2" s="1"/>
  <c r="S3" i="2" a="1"/>
  <c r="S3" i="2" s="1"/>
  <c r="AE3" i="2" a="1"/>
  <c r="AE3" i="2" s="1"/>
  <c r="T3" i="2" a="1"/>
  <c r="T3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<sst xmlns="http://schemas.openxmlformats.org/spreadsheetml/2006/main" count="1065" uniqueCount="407">
  <si>
    <t>atkName</t>
  </si>
  <si>
    <t>atkWpn</t>
  </si>
  <si>
    <t>atkTer</t>
  </si>
  <si>
    <t>defName</t>
  </si>
  <si>
    <t>defWpn</t>
  </si>
  <si>
    <t>defTer</t>
  </si>
  <si>
    <t>canCounter</t>
  </si>
  <si>
    <t>enemyMustLive</t>
  </si>
  <si>
    <t>atkIsPlayer</t>
  </si>
  <si>
    <t>atkCls</t>
  </si>
  <si>
    <t>atkLvl</t>
  </si>
  <si>
    <t>atkMaxHP</t>
  </si>
  <si>
    <t>atkCurHp</t>
  </si>
  <si>
    <t>atkLck</t>
  </si>
  <si>
    <t>atkSpeed</t>
  </si>
  <si>
    <t>atkHit</t>
  </si>
  <si>
    <t>atkCrit</t>
  </si>
  <si>
    <t>atkDmg</t>
  </si>
  <si>
    <t>atkDmgBlock</t>
  </si>
  <si>
    <t>atkSilencerVuln</t>
  </si>
  <si>
    <t>atkBrave</t>
  </si>
  <si>
    <t>atkHealDmg</t>
  </si>
  <si>
    <t>atkSelfDmg</t>
  </si>
  <si>
    <t>defIsPlayer</t>
  </si>
  <si>
    <t>defCls</t>
  </si>
  <si>
    <t>defLvl</t>
  </si>
  <si>
    <t>defMaxHP</t>
  </si>
  <si>
    <t>defCurHP</t>
  </si>
  <si>
    <t>defLck</t>
  </si>
  <si>
    <t>defSpeed</t>
  </si>
  <si>
    <t>defHit</t>
  </si>
  <si>
    <t>defCrit</t>
  </si>
  <si>
    <t>defDmg</t>
  </si>
  <si>
    <t>defDmgBlock</t>
  </si>
  <si>
    <t>defSilencerVuln</t>
  </si>
  <si>
    <t>defBrave</t>
  </si>
  <si>
    <t>defHealDmg</t>
  </si>
  <si>
    <t>defSelfDmg</t>
  </si>
  <si>
    <t>atkBUIndex</t>
  </si>
  <si>
    <t>atkClsIndex</t>
  </si>
  <si>
    <t>atkTerIndex</t>
  </si>
  <si>
    <t>atkWpnIndex</t>
  </si>
  <si>
    <t>defBUIndex</t>
  </si>
  <si>
    <t>defClsIndex</t>
  </si>
  <si>
    <t>defTerIndex</t>
  </si>
  <si>
    <t>defWpnIndex</t>
  </si>
  <si>
    <t>triBonus</t>
  </si>
  <si>
    <t>Success</t>
  </si>
  <si>
    <t>Fail</t>
  </si>
  <si>
    <t>Death</t>
  </si>
  <si>
    <t>30/45/35/30</t>
  </si>
  <si>
    <t>Vanessa</t>
  </si>
  <si>
    <t>Heavy Spear</t>
  </si>
  <si>
    <t>Avoid +5</t>
  </si>
  <si>
    <t>Tirado</t>
  </si>
  <si>
    <t>Iron Bow</t>
  </si>
  <si>
    <t>Plain</t>
  </si>
  <si>
    <t>30/24/35/30</t>
  </si>
  <si>
    <t>Joshua</t>
  </si>
  <si>
    <t>Silver Sword</t>
  </si>
  <si>
    <t>Forest/Pillar</t>
  </si>
  <si>
    <t>Sniper1</t>
  </si>
  <si>
    <t>Silver Bow</t>
  </si>
  <si>
    <t>Throne</t>
  </si>
  <si>
    <t>0/0/0/0</t>
  </si>
  <si>
    <t>Terrain</t>
  </si>
  <si>
    <t>9/45/35/30</t>
  </si>
  <si>
    <t>Spd</t>
  </si>
  <si>
    <t>Hit</t>
  </si>
  <si>
    <t>Crit</t>
  </si>
  <si>
    <t>9/24/35/30</t>
  </si>
  <si>
    <t>9/45/35/21</t>
  </si>
  <si>
    <t>9/45/35/3</t>
  </si>
  <si>
    <t>30/45/35/21</t>
  </si>
  <si>
    <t>30/45/35/3</t>
  </si>
  <si>
    <t>9/24/35/21</t>
  </si>
  <si>
    <t>9/24/35/3</t>
  </si>
  <si>
    <t>30/24/35/21</t>
  </si>
  <si>
    <t>30/24/35/3</t>
  </si>
  <si>
    <t>Name</t>
  </si>
  <si>
    <t>Class</t>
  </si>
  <si>
    <t>Level</t>
  </si>
  <si>
    <t>MaxHp</t>
  </si>
  <si>
    <t>CurHp</t>
  </si>
  <si>
    <t>S/M</t>
  </si>
  <si>
    <t>Skl</t>
  </si>
  <si>
    <t>Lck</t>
  </si>
  <si>
    <t>Def</t>
  </si>
  <si>
    <t>Res</t>
  </si>
  <si>
    <t>Con</t>
  </si>
  <si>
    <t>Srank</t>
  </si>
  <si>
    <t>HoplonGuard</t>
  </si>
  <si>
    <t>FiliShield</t>
  </si>
  <si>
    <t>Player</t>
  </si>
  <si>
    <t>Must Die</t>
  </si>
  <si>
    <t>Swordmaster</t>
  </si>
  <si>
    <t>Sword</t>
  </si>
  <si>
    <t>Paladin</t>
  </si>
  <si>
    <t>Lance</t>
  </si>
  <si>
    <t>Wyvern Knight</t>
  </si>
  <si>
    <t>9/45/35/12</t>
  </si>
  <si>
    <t>Sniper</t>
  </si>
  <si>
    <t>Bow</t>
  </si>
  <si>
    <t>9/45/35/0</t>
  </si>
  <si>
    <t>30/45/35/12</t>
  </si>
  <si>
    <t>30/45/35/0</t>
  </si>
  <si>
    <t>9/24/35/12</t>
  </si>
  <si>
    <t>9/24/35/0</t>
  </si>
  <si>
    <t>30/24/35/12</t>
  </si>
  <si>
    <t>30/24/35/0</t>
  </si>
  <si>
    <t>Weakness1</t>
  </si>
  <si>
    <t>Weakness2</t>
  </si>
  <si>
    <t>Weakness3</t>
  </si>
  <si>
    <t>CritBonus</t>
  </si>
  <si>
    <t>SilenceWeakness</t>
  </si>
  <si>
    <t>SpecialSkill</t>
  </si>
  <si>
    <t>WeaponOption1</t>
  </si>
  <si>
    <t>WeaponOption2</t>
  </si>
  <si>
    <t>WeaponOption3</t>
  </si>
  <si>
    <t>Weapon</t>
  </si>
  <si>
    <t>Category</t>
  </si>
  <si>
    <t>Triangle</t>
  </si>
  <si>
    <t>Weight</t>
  </si>
  <si>
    <t>Might</t>
  </si>
  <si>
    <t>Effective1</t>
  </si>
  <si>
    <t>Effective2</t>
  </si>
  <si>
    <t>Multiplier</t>
  </si>
  <si>
    <t>IsReaver</t>
  </si>
  <si>
    <t>IsBrave</t>
  </si>
  <si>
    <t>IsPiercing</t>
  </si>
  <si>
    <t>NoCounter</t>
  </si>
  <si>
    <t>NoCrit</t>
  </si>
  <si>
    <t>Min Range</t>
  </si>
  <si>
    <t>Max Range</t>
  </si>
  <si>
    <t>Rank</t>
  </si>
  <si>
    <t>IsMagic</t>
  </si>
  <si>
    <t>Prf</t>
  </si>
  <si>
    <t>IsRangedMagicSword</t>
  </si>
  <si>
    <t>healOnHit</t>
  </si>
  <si>
    <t>canDmgSelf</t>
  </si>
  <si>
    <t>Notes</t>
  </si>
  <si>
    <t>Lord (Eirika)</t>
  </si>
  <si>
    <t>Iron Sword</t>
  </si>
  <si>
    <t>E</t>
  </si>
  <si>
    <t>Lord (Ephraim)</t>
  </si>
  <si>
    <t>Slim Sword</t>
  </si>
  <si>
    <t>Great Lord (Eirika)</t>
  </si>
  <si>
    <t>Cavalry</t>
  </si>
  <si>
    <t>Steel Sword</t>
  </si>
  <si>
    <t>D</t>
  </si>
  <si>
    <t>Great Lord (Ephraim)</t>
  </si>
  <si>
    <t>A</t>
  </si>
  <si>
    <t>Dancer</t>
  </si>
  <si>
    <t>Iron Blade</t>
  </si>
  <si>
    <t>Soldier</t>
  </si>
  <si>
    <t>Steel Blade</t>
  </si>
  <si>
    <t>C</t>
  </si>
  <si>
    <t>Cavalier</t>
  </si>
  <si>
    <t>Silver Blade</t>
  </si>
  <si>
    <t>Poison Sword</t>
  </si>
  <si>
    <t>Great Knight</t>
  </si>
  <si>
    <t>Armored</t>
  </si>
  <si>
    <t>Axe</t>
  </si>
  <si>
    <t>Rapier</t>
  </si>
  <si>
    <t>Eirika</t>
  </si>
  <si>
    <t>Knight</t>
  </si>
  <si>
    <t>Brave Sword</t>
  </si>
  <si>
    <t>B</t>
  </si>
  <si>
    <t>General</t>
  </si>
  <si>
    <t>Great Shield</t>
  </si>
  <si>
    <t>Shamshir</t>
  </si>
  <si>
    <t>Mercenary</t>
  </si>
  <si>
    <t>Killing Edge</t>
  </si>
  <si>
    <t>Hero</t>
  </si>
  <si>
    <t>Armorslayer</t>
  </si>
  <si>
    <t>Myrmidon</t>
  </si>
  <si>
    <t>Wyrmslayer</t>
  </si>
  <si>
    <t>Dragon</t>
  </si>
  <si>
    <t>Lancereaver</t>
  </si>
  <si>
    <t>Assassin</t>
  </si>
  <si>
    <t>Silencer</t>
  </si>
  <si>
    <t>Zanbato</t>
  </si>
  <si>
    <t>Rogue</t>
  </si>
  <si>
    <t>Sieglinde</t>
  </si>
  <si>
    <t>Monster</t>
  </si>
  <si>
    <t>Thief</t>
  </si>
  <si>
    <t>Audhulma</t>
  </si>
  <si>
    <t>S</t>
  </si>
  <si>
    <t>Archer</t>
  </si>
  <si>
    <t>Ballista</t>
  </si>
  <si>
    <t>Wind Sword (melee &amp; no counter)</t>
  </si>
  <si>
    <t>Flying</t>
  </si>
  <si>
    <t>Sure Shot</t>
  </si>
  <si>
    <t>Wind Sword (range 2)</t>
  </si>
  <si>
    <t>Anima</t>
  </si>
  <si>
    <t>Ranged Magic Sword (S_M = S_M\2+SM Mod 2.)</t>
  </si>
  <si>
    <t>Ranger</t>
  </si>
  <si>
    <t>Light Brand (melee &amp; no counter)</t>
  </si>
  <si>
    <t>Wyvern Rider</t>
  </si>
  <si>
    <t>Light Brand (range 2)</t>
  </si>
  <si>
    <t>Light</t>
  </si>
  <si>
    <t>Wyvern Lord</t>
  </si>
  <si>
    <t>Runesword</t>
  </si>
  <si>
    <t>Dark</t>
  </si>
  <si>
    <t>Pierce</t>
  </si>
  <si>
    <t>Iron Lance</t>
  </si>
  <si>
    <t>Mage</t>
  </si>
  <si>
    <t>Slim Lance</t>
  </si>
  <si>
    <t>Sage</t>
  </si>
  <si>
    <t>Stave</t>
  </si>
  <si>
    <t>Steel Lance</t>
  </si>
  <si>
    <t>Mage Knight</t>
  </si>
  <si>
    <t>Silver Lance</t>
  </si>
  <si>
    <t>Monk</t>
  </si>
  <si>
    <t>Toxin Lance</t>
  </si>
  <si>
    <t>Priest</t>
  </si>
  <si>
    <t>Brave Lance</t>
  </si>
  <si>
    <t>Cleric</t>
  </si>
  <si>
    <t>Killer Lance</t>
  </si>
  <si>
    <t>Bishop</t>
  </si>
  <si>
    <t>Slayer</t>
  </si>
  <si>
    <t>Horseslayer</t>
  </si>
  <si>
    <t>Shaman</t>
  </si>
  <si>
    <t>Javelin</t>
  </si>
  <si>
    <t>Druid</t>
  </si>
  <si>
    <t>Spear</t>
  </si>
  <si>
    <t>Summoner</t>
  </si>
  <si>
    <t>Axereaver</t>
  </si>
  <si>
    <t>Journeyman (1)</t>
  </si>
  <si>
    <t>Reginleif</t>
  </si>
  <si>
    <t>Ephraim</t>
  </si>
  <si>
    <t>Journeyman (2)</t>
  </si>
  <si>
    <t>Dragonspear</t>
  </si>
  <si>
    <t>Journeyman (3)</t>
  </si>
  <si>
    <t>Vidofnir</t>
  </si>
  <si>
    <t>Recruit (1)</t>
  </si>
  <si>
    <t>Siegmund</t>
  </si>
  <si>
    <t>Recruit (2)</t>
  </si>
  <si>
    <t>Recruit (3)</t>
  </si>
  <si>
    <t>Short Spear</t>
  </si>
  <si>
    <t>Pupil (1)</t>
  </si>
  <si>
    <t>Iron Axe</t>
  </si>
  <si>
    <t>Pupil (2)</t>
  </si>
  <si>
    <t>Steel Axe</t>
  </si>
  <si>
    <t>Pupil (3)</t>
  </si>
  <si>
    <t>Silver Axe</t>
  </si>
  <si>
    <t>Manakete (F)</t>
  </si>
  <si>
    <t>Dragonstone</t>
  </si>
  <si>
    <t>Poison Axe</t>
  </si>
  <si>
    <t>Draco Zombie (Morva + others)</t>
  </si>
  <si>
    <t>Wretched Air</t>
  </si>
  <si>
    <t>Brave Axe</t>
  </si>
  <si>
    <t>Fighter</t>
  </si>
  <si>
    <t>Killer Axe</t>
  </si>
  <si>
    <t>Warrior</t>
  </si>
  <si>
    <t>Halberd</t>
  </si>
  <si>
    <t>Brigand</t>
  </si>
  <si>
    <t>Hammer</t>
  </si>
  <si>
    <t>Pirate</t>
  </si>
  <si>
    <t>Hand Axe</t>
  </si>
  <si>
    <t>Berserker</t>
  </si>
  <si>
    <t>Tomahawk</t>
  </si>
  <si>
    <t>Pegasus Knight</t>
  </si>
  <si>
    <t>Swordreaver</t>
  </si>
  <si>
    <t>Falcoknight</t>
  </si>
  <si>
    <t>Swordslayer</t>
  </si>
  <si>
    <t>Troubadour</t>
  </si>
  <si>
    <t>Hatchet</t>
  </si>
  <si>
    <t>Valkyrie</t>
  </si>
  <si>
    <t>Dragon Axe</t>
  </si>
  <si>
    <t>Necromancer</t>
  </si>
  <si>
    <t>Battle Axe</t>
  </si>
  <si>
    <t>Fleet</t>
  </si>
  <si>
    <t>Garm</t>
  </si>
  <si>
    <t>Phantom</t>
  </si>
  <si>
    <t>Devil Axe</t>
  </si>
  <si>
    <t>Backfire chance = 31- atkLuck.</t>
  </si>
  <si>
    <t>Revenant</t>
  </si>
  <si>
    <t>Claw</t>
  </si>
  <si>
    <t>Entombed</t>
  </si>
  <si>
    <t>Steel Bow</t>
  </si>
  <si>
    <t>Bonewalker</t>
  </si>
  <si>
    <t>Wight</t>
  </si>
  <si>
    <t>Poison Bow</t>
  </si>
  <si>
    <t>Bael</t>
  </si>
  <si>
    <t>Killer Bow</t>
  </si>
  <si>
    <t>Elder Bael</t>
  </si>
  <si>
    <t>Brave Bow</t>
  </si>
  <si>
    <t>Cyclops</t>
  </si>
  <si>
    <t>Short Bow</t>
  </si>
  <si>
    <t>Mauthe Doog</t>
  </si>
  <si>
    <t>Fang</t>
  </si>
  <si>
    <t>Longbow</t>
  </si>
  <si>
    <t>Gwyllgi</t>
  </si>
  <si>
    <t>Tarvos</t>
  </si>
  <si>
    <t>Iron Ballista</t>
  </si>
  <si>
    <t>Maelduin</t>
  </si>
  <si>
    <t>Killer Ballista</t>
  </si>
  <si>
    <t>Mogall</t>
  </si>
  <si>
    <t>Hover</t>
  </si>
  <si>
    <t>Eye</t>
  </si>
  <si>
    <t>Dark Spell</t>
  </si>
  <si>
    <t>Nidhogg</t>
  </si>
  <si>
    <t>Arch Mogall</t>
  </si>
  <si>
    <t>Fire</t>
  </si>
  <si>
    <t>Gorgon Egg</t>
  </si>
  <si>
    <t>Thunder</t>
  </si>
  <si>
    <t>Gorgon</t>
  </si>
  <si>
    <t>Elfire</t>
  </si>
  <si>
    <t>Gargoyle</t>
  </si>
  <si>
    <t>Bolting</t>
  </si>
  <si>
    <t>Deathgoyle</t>
  </si>
  <si>
    <t>Fimbulvetr</t>
  </si>
  <si>
    <t>Prologue-O’Neill</t>
  </si>
  <si>
    <t>Excalibur</t>
  </si>
  <si>
    <t>Ch1-Breguet</t>
  </si>
  <si>
    <t>Flux</t>
  </si>
  <si>
    <t>Ch2-Bone</t>
  </si>
  <si>
    <t>Luna</t>
  </si>
  <si>
    <t>Ch3-Bazba</t>
  </si>
  <si>
    <t>Nosferatu</t>
  </si>
  <si>
    <t>Ch4-Monster</t>
  </si>
  <si>
    <t>Eclipse</t>
  </si>
  <si>
    <t>Damage = enemyCurHp\2 + enemyCurHp Mod 2. Damage not affected by triangle. Special handling.</t>
  </si>
  <si>
    <t>Ch5-Saar</t>
  </si>
  <si>
    <t>Fenrir</t>
  </si>
  <si>
    <t>Ch5x-Zonta</t>
  </si>
  <si>
    <t>Gleipnir</t>
  </si>
  <si>
    <t>Ch6-Novala</t>
  </si>
  <si>
    <t>Naglfar</t>
  </si>
  <si>
    <t>Ch7-Murray</t>
  </si>
  <si>
    <t>Lightning</t>
  </si>
  <si>
    <t>Ch8-Tirado</t>
  </si>
  <si>
    <t>Shine</t>
  </si>
  <si>
    <t>Ch9A-Binks</t>
  </si>
  <si>
    <t>Divine</t>
  </si>
  <si>
    <t>Ch10A-Pablo</t>
  </si>
  <si>
    <t>Purge</t>
  </si>
  <si>
    <t>Ch11A-Monster</t>
  </si>
  <si>
    <t>Aura</t>
  </si>
  <si>
    <t>Ch12A-Monster</t>
  </si>
  <si>
    <t>Ivaldi</t>
  </si>
  <si>
    <t>Ch13A-Aias</t>
  </si>
  <si>
    <t>Ch13A-Pablo</t>
  </si>
  <si>
    <t>Ch14A-Carlyle</t>
  </si>
  <si>
    <t>Demon Light</t>
  </si>
  <si>
    <t>Ch9B-Gheb</t>
  </si>
  <si>
    <t>Ravager</t>
  </si>
  <si>
    <t>Ch10B-Beran</t>
  </si>
  <si>
    <t>Demon Surge</t>
  </si>
  <si>
    <t>Ch11B-Monster</t>
  </si>
  <si>
    <t>Shadowshot</t>
  </si>
  <si>
    <t>Ch12B-Monster</t>
  </si>
  <si>
    <t>Sharp Claw</t>
  </si>
  <si>
    <t>Ch13B-Selena</t>
  </si>
  <si>
    <t>Rotten Claw</t>
  </si>
  <si>
    <t>Ch14B-Vigarde</t>
  </si>
  <si>
    <t>Fetid Claw</t>
  </si>
  <si>
    <t>Ch15-Caellach</t>
  </si>
  <si>
    <t>Poison Claw</t>
  </si>
  <si>
    <t>Ch15-Valter</t>
  </si>
  <si>
    <t>Flyign</t>
  </si>
  <si>
    <t>Lethal Talon</t>
  </si>
  <si>
    <t>Ch16-Orson</t>
  </si>
  <si>
    <t>Fiery Fang</t>
  </si>
  <si>
    <t>Ch17-Lyon</t>
  </si>
  <si>
    <t>Hellfang</t>
  </si>
  <si>
    <t>Ch18-Monster</t>
  </si>
  <si>
    <t>Evil Eye</t>
  </si>
  <si>
    <t>Ch19&amp;Ch20-Riev</t>
  </si>
  <si>
    <t>Crimson Eye</t>
  </si>
  <si>
    <t>Ch20-Morva</t>
  </si>
  <si>
    <t>Heal</t>
  </si>
  <si>
    <t>Handled by way of negative damage, 1000 weight, 1000 hit, can't crit, ignores defense, no counter, and subtracts S_M when necessary, damage formula uses negative S_M if Might is negative.</t>
  </si>
  <si>
    <t>Final-Lyon</t>
  </si>
  <si>
    <t>Mend</t>
  </si>
  <si>
    <t>Handled by way of negative damage, 1000 weight, 1000 hit, can't crit, ignores defense, and subtracts S_M when necessary, damage formula uses negative S_M if Might is negative.</t>
  </si>
  <si>
    <t>Final-Fomortiis</t>
  </si>
  <si>
    <t>Recover</t>
  </si>
  <si>
    <t>Physic</t>
  </si>
  <si>
    <t>?</t>
  </si>
  <si>
    <t>Avoid</t>
  </si>
  <si>
    <t>Heal Percent</t>
  </si>
  <si>
    <t>Foritfy</t>
  </si>
  <si>
    <t>10 + Mag</t>
  </si>
  <si>
    <t>Latona</t>
  </si>
  <si>
    <t>20 + Mag</t>
  </si>
  <si>
    <t>Vulnerary</t>
  </si>
  <si>
    <t>Item</t>
  </si>
  <si>
    <t>80 + Mag</t>
  </si>
  <si>
    <t>Avoid +10</t>
  </si>
  <si>
    <t>Elixir</t>
  </si>
  <si>
    <t>Fortify</t>
  </si>
  <si>
    <t>Mountain</t>
  </si>
  <si>
    <t/>
  </si>
  <si>
    <t>Full Heal</t>
  </si>
  <si>
    <t>Peak</t>
  </si>
  <si>
    <t>Fort</t>
  </si>
  <si>
    <t>WTA Against</t>
  </si>
  <si>
    <t>WTD Against</t>
  </si>
  <si>
    <t>Gate (Avoid +20)</t>
  </si>
  <si>
    <t>Gate (Avoid +30)</t>
  </si>
  <si>
    <t>30/0/35/30</t>
  </si>
  <si>
    <t>30/0/35/21</t>
  </si>
  <si>
    <t>30/0/35/3</t>
  </si>
  <si>
    <t>30/0/35/12</t>
  </si>
  <si>
    <t>30/0/35/0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</si>
</sst>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quotePrefix="1"/>
  </cellXfs>
  <cellStyles count="1">
    <cellStyle name="Normal" xfId="0" builtinId="0"/>
  </cellStyles>
  <dxfs count="4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numFmt numFmtId="0" formatCode="General"/>
    </dxf>
    <dxf>
      <numFmt numFmtId="0" formatCode="General"/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198120</xdr:colOff>
          <xdr:row>5</xdr:row>
          <xdr:rowOff>68580</xdr:rowOff>
        </xdr:from>
        <xdr:to>
          <xdr:col>1</xdr:col>
          <xdr:colOff>640080</xdr:colOff>
          <xdr:row>6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Kavithasan%20P\Desktop\CURRENT.xlsm" TargetMode="External"/><Relationship Id="rId1" Type="http://schemas.openxmlformats.org/officeDocument/2006/relationships/externalLinkPath" Target="CURREN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nemy"/>
      <sheetName val="Duel"/>
      <sheetName val="Stats"/>
      <sheetName val="Party"/>
      <sheetName val="Exp"/>
      <sheetName val="Support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4FF31C2-D180-4280-A295-7B62C8C71F91}" name="WeaponTriangleRules" displayName="WeaponTriangleRules" ref="A167:C173" totalsRowShown="0">
  <autoFilter ref="A167:C173" xr:uid="{2B514D26-11D9-46FE-AE0C-F8E12B8E8126}"/>
  <tableColumns count="3">
    <tableColumn id="1" xr3:uid="{A7C3A50E-6860-4004-9174-CA329350A1C5}" name="Triangle"/>
    <tableColumn id="3" xr3:uid="{554C1F16-6F6B-42E7-9C95-307D2207D22D}" name="WTA Against"/>
    <tableColumn id="2" xr3:uid="{327BE774-05DC-44CD-919F-7A2284A5F5D5}" name="WTD Agains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DCD762-235F-4994-9210-BF27921AFAA6}" name="TerrainData" displayName="TerrainData" ref="F159:J169" totalsRowShown="0">
  <autoFilter ref="F159:J169" xr:uid="{F246D4B8-E65C-4280-AA4D-F19C4C1D8868}"/>
  <tableColumns count="5">
    <tableColumn id="1" xr3:uid="{473E279A-581C-4C01-81C3-CF878132C65C}" name="Terrain"/>
    <tableColumn id="2" xr3:uid="{53745FAC-2D19-4873-9F7F-F7A6592DDBF6}" name="Def"/>
    <tableColumn id="3" xr3:uid="{75438775-1403-48B1-A838-593C4DC54843}" name="Avoid"/>
    <tableColumn id="4" xr3:uid="{AF6F4D90-3B98-4813-893B-2ACBF1F172DB}" name="Res"/>
    <tableColumn id="5" xr3:uid="{03A8259D-C7BC-408D-8501-410588466789}" name="Heal Perce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97F05FA-9591-4320-AA7D-0813C6C8B61C}" name="HealingStaves" displayName="HealingStaves" ref="A159:B165" totalsRowShown="0">
  <autoFilter ref="A159:B165" xr:uid="{E2D168F2-F828-4394-A290-8EDEDFD351A3}"/>
  <tableColumns count="2">
    <tableColumn id="1" xr3:uid="{6935BDEE-1410-424C-9271-1473F94F29F3}" name="Stave"/>
    <tableColumn id="2" xr3:uid="{5356839A-948C-4B2A-8276-DF570E61980A}" name="He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06F0830-4800-49A3-9DE5-A5C0C2D4974B}" name="UnitData" displayName="UnitData" ref="A22:Q26" totalsRowShown="0" dataDxfId="43">
  <autoFilter ref="A22:Q26" xr:uid="{3253D1B7-044D-471A-AC47-22657B5D48F9}"/>
  <tableColumns count="17">
    <tableColumn id="1" xr3:uid="{1E7740E4-BCA3-4A93-A698-0C2507FFC37E}" name="Name" dataDxfId="42"/>
    <tableColumn id="2" xr3:uid="{5632751C-67E4-4341-9ECD-CB492C9B8A99}" name="Class" dataDxfId="41"/>
    <tableColumn id="4" xr3:uid="{5130E7E6-7231-43ED-87C8-DCD6183BDD9B}" name="Level" dataDxfId="40"/>
    <tableColumn id="5" xr3:uid="{6D9CE8BB-58BA-40C7-97FE-C3A996DA6253}" name="MaxHp" dataDxfId="39"/>
    <tableColumn id="6" xr3:uid="{874B70CF-3724-476D-8809-C3BEB4419AC4}" name="CurHp" dataDxfId="38"/>
    <tableColumn id="7" xr3:uid="{C3527057-BEE6-428C-B01D-FE64A593B173}" name="S/M" dataDxfId="37"/>
    <tableColumn id="8" xr3:uid="{7C3D56C7-0046-4A81-98C6-BE59944023A2}" name="Skl" dataDxfId="36"/>
    <tableColumn id="9" xr3:uid="{F60CFA8C-A1B8-4FBD-AE40-FB1F91ED587F}" name="Spd" dataDxfId="35"/>
    <tableColumn id="10" xr3:uid="{D2A30CCA-C184-49E9-9B68-A69E025ECA9E}" name="Lck" dataDxfId="34"/>
    <tableColumn id="11" xr3:uid="{145ADB50-193B-4783-AD0C-5BF274EB60DF}" name="Def" dataDxfId="33"/>
    <tableColumn id="12" xr3:uid="{E2BABFDB-D7E6-41AE-8ADF-D11BB5CFB1F5}" name="Res" dataDxfId="32"/>
    <tableColumn id="13" xr3:uid="{89E1265C-8F69-454F-96FF-5DA467BECC23}" name="Con" dataDxfId="31"/>
    <tableColumn id="17" xr3:uid="{CF17FE7B-E914-48F0-9D32-D72F5B8D9E96}" name="Srank" dataDxfId="30"/>
    <tableColumn id="18" xr3:uid="{72516F4F-A517-4744-8B55-1C5DD086898C}" name="HoplonGuard" dataDxfId="29"/>
    <tableColumn id="19" xr3:uid="{D8849E5F-ABFF-4B36-980F-ADDA12B73BBA}" name="FiliShield" dataDxfId="28"/>
    <tableColumn id="20" xr3:uid="{06F408A3-4959-4CB9-B168-9D4E983F47C5}" name="Player" dataDxfId="27"/>
    <tableColumn id="14" xr3:uid="{F2C95195-39FA-4820-A2E6-4140A3A9EDF0}" name="Must Die" dataDxfId="2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99EB88-215F-4986-B70B-B13E097ABC61}" name="WeaponData" displayName="WeaponData" ref="L51:AO163" totalsRowShown="0">
  <autoFilter ref="L51:AO163" xr:uid="{89733C96-B0EA-4DF5-BF9B-C3CEBEBCFA41}"/>
  <tableColumns count="30">
    <tableColumn id="1" xr3:uid="{FB15F83A-B5D6-49A9-90BA-69EC78967E96}" name="Weapon"/>
    <tableColumn id="2" xr3:uid="{45BB990F-4BAF-47D5-96DA-ABDD4B2113A7}" name="Category"/>
    <tableColumn id="27" xr3:uid="{6F9F8744-D9A2-493C-A950-A385AE551E56}" name="Triangle"/>
    <tableColumn id="3" xr3:uid="{BF8BB05D-7B65-4D45-9A2A-5B3E8248E5C5}" name="Weight"/>
    <tableColumn id="4" xr3:uid="{2640A1C0-4082-4FCE-BF24-C480F97427FD}" name="Might"/>
    <tableColumn id="5" xr3:uid="{F5ED4DD4-5B98-4A0B-8817-C46A35D820D7}" name="Hit"/>
    <tableColumn id="6" xr3:uid="{55C9C614-FDDB-4552-BB01-60E58389D348}" name="Crit"/>
    <tableColumn id="7" xr3:uid="{2A64C96D-C1E2-4831-BC12-B0AFB35BCAC4}" name="S/M"/>
    <tableColumn id="8" xr3:uid="{FB952098-736A-479F-9503-9524439D992F}" name="Skl"/>
    <tableColumn id="9" xr3:uid="{CA5512B0-3AA0-48B1-8B10-EB264649A3B4}" name="Spd"/>
    <tableColumn id="10" xr3:uid="{5EC70D52-D938-47EF-89FC-CDE5DC13FCC9}" name="Lck"/>
    <tableColumn id="11" xr3:uid="{43413FD8-60A6-45BB-9446-0D5F33076BCB}" name="Def"/>
    <tableColumn id="13" xr3:uid="{4F9013EB-23E9-45D4-A31C-1535A1745512}" name="Res"/>
    <tableColumn id="14" xr3:uid="{9A286229-E73F-4E6D-AA64-5F6A01184BA0}" name="Effective1"/>
    <tableColumn id="21" xr3:uid="{5C61C9F0-EC7E-4E73-9681-A7243060B184}" name="Effective2"/>
    <tableColumn id="15" xr3:uid="{629C858F-A309-4E17-87D5-FBF9915B5027}" name="Multiplier"/>
    <tableColumn id="16" xr3:uid="{A564B66C-3318-43B5-BBF1-D8D1FE5127E0}" name="IsReaver"/>
    <tableColumn id="17" xr3:uid="{2002E876-A2B9-4D22-9694-8A3C5AEC3C40}" name="IsBrave"/>
    <tableColumn id="12" xr3:uid="{27621E65-4D7C-4CD5-A636-9D0E392A0131}" name="IsPiercing"/>
    <tableColumn id="18" xr3:uid="{B3E68966-3FBB-46F6-A809-071C5227A638}" name="NoCounter"/>
    <tableColumn id="19" xr3:uid="{2A76C8A4-1F10-4273-8DFF-54AEDB9B57F4}" name="NoCrit"/>
    <tableColumn id="22" xr3:uid="{E9BFD2AD-3F29-421D-BE84-7A4597B18A81}" name="Min Range"/>
    <tableColumn id="23" xr3:uid="{5550BD32-0B9E-4154-B060-BB328C5F092B}" name="Max Range"/>
    <tableColumn id="25" xr3:uid="{80910BFD-F1F3-4449-A24F-80DBAD8A07BB}" name="Rank" dataDxfId="25"/>
    <tableColumn id="26" xr3:uid="{8BF0B84A-0744-4FCB-A2D1-A3C0EAA2F1FA}" name="IsMagic" dataDxfId="24"/>
    <tableColumn id="20" xr3:uid="{9A908953-8A7A-4D5A-80C2-7583B798F44E}" name="Prf"/>
    <tableColumn id="24" xr3:uid="{59B53F32-1463-4779-AA85-B0BBA73EC105}" name="IsRangedMagicSword"/>
    <tableColumn id="28" xr3:uid="{93C91445-7474-4738-9566-98121358E307}" name="healOnHit"/>
    <tableColumn id="29" xr3:uid="{D48AA87C-6CCC-4027-95BF-91F541B1A871}" name="canDmgSelf"/>
    <tableColumn id="31" xr3:uid="{4312314D-A9A9-4DFB-AC58-9E24B14E0EBC}" name="Note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1192B47-C7E6-468A-B2EE-3FCDCAAA30A3}" name="ClassData" displayName="ClassData" ref="A51:J157" totalsRowShown="0">
  <autoFilter ref="A51:J157" xr:uid="{E92E1627-14B3-465C-94B1-EDDCD983F3EB}"/>
  <tableColumns count="10">
    <tableColumn id="1" xr3:uid="{A996C924-3D53-4453-AE7C-F6FF32E9D621}" name="Class"/>
    <tableColumn id="2" xr3:uid="{4F4FCAA4-AFC1-4728-85BD-87CBC269FF58}" name="Weakness1"/>
    <tableColumn id="3" xr3:uid="{D6A6CBD0-5CC6-4122-9982-327A75906E6B}" name="Weakness2"/>
    <tableColumn id="4" xr3:uid="{ED66C513-7BE4-40EE-8695-992CC5DCAF26}" name="Weakness3"/>
    <tableColumn id="5" xr3:uid="{D731DD84-F7A4-42F2-90CD-2C286F7E2272}" name="CritBonus"/>
    <tableColumn id="6" xr3:uid="{4A53395C-3540-4931-AB02-34E9AA4C4A37}" name="SilenceWeakness"/>
    <tableColumn id="7" xr3:uid="{09C86259-04B8-4BA3-A027-20AAAEA10ABB}" name="SpecialSkill"/>
    <tableColumn id="8" xr3:uid="{5EA8AE7E-74C0-44F5-B978-DBC167C42B43}" name="WeaponOption1"/>
    <tableColumn id="9" xr3:uid="{B87D9EBC-B952-4CDE-B160-EA3C09E8636B}" name="WeaponOption2"/>
    <tableColumn id="10" xr3:uid="{D640EF2B-FFE0-41AE-9EB1-93959605D110}" name="WeaponOption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EBA401A-20AC-46E6-BD9E-EA3E20C7CA1C}" name="CombatData" displayName="CombatData" ref="A1:AU4" totalsRowShown="0">
  <autoFilter ref="A1:AU4" xr:uid="{94E9BE96-6AF3-4883-9ADD-BEE23A973FDD}"/>
  <tableColumns count="47">
    <tableColumn id="1" xr3:uid="{64D37EFD-950E-4637-A746-5CE338C53774}" name="atkName" dataDxfId="23"/>
    <tableColumn id="48" xr3:uid="{000C3CA8-44C4-4E7B-8644-7A95166870AF}" name="atkWpn" dataDxfId="22"/>
    <tableColumn id="29" xr3:uid="{5709F36F-253B-4B71-A642-6FAAB867D6F2}" name="atkTer" dataDxfId="21"/>
    <tableColumn id="2" xr3:uid="{9064D84C-8494-4645-9742-7EFEA60F53E8}" name="defName" dataDxfId="20"/>
    <tableColumn id="49" xr3:uid="{203007F8-9E51-4AFD-9E55-89B4A3202F4B}" name="defWpn" dataDxfId="19"/>
    <tableColumn id="28" xr3:uid="{9309D469-97DC-4CC4-8340-AC391AA93299}" name="defTer" dataDxfId="18"/>
    <tableColumn id="43" xr3:uid="{62AAF9F5-2452-49DE-A15A-C61AE4E87A43}" name="canCounter" dataDxfId="17"/>
    <tableColumn id="4" xr3:uid="{AC646F35-D5AD-42AB-84CD-40EFBD154F88}" name="enemyMustLive" dataDxfId="16"/>
    <tableColumn id="57" xr3:uid="{50AAB7E2-8A97-492B-89FE-490E3647570B}" name="atkIsPlayer" dataDxfId="15">
      <calculatedColumnFormula array="1">INDEX(UnitData[Player], CombatData[[#This Row],[atkBUIndex]])=TRUE</calculatedColumnFormula>
    </tableColumn>
    <tableColumn id="3" xr3:uid="{CB2AF42A-8F63-4BA5-A5FF-3B7BA3739586}" name="atkCls">
      <calculatedColumnFormula array="1">INDEX(UnitData[Class], CombatData[[#This Row],[atkBUIndex]])</calculatedColumnFormula>
    </tableColumn>
    <tableColumn id="5" xr3:uid="{38D6DAF9-AF4C-49BC-AEEF-13565DA6B008}" name="atkLvl">
      <calculatedColumnFormula array="1">INDEX(UnitData[Level], CombatData[[#This Row],[atkBUIndex]])</calculatedColumnFormula>
    </tableColumn>
    <tableColumn id="6" xr3:uid="{CE5A67CF-1A4D-4833-A198-DB4E12ED0580}" name="atkMaxHP">
      <calculatedColumnFormula array="1">INDEX(UnitData[MaxHp], CombatData[[#This Row],[atkBUIndex]])</calculatedColumnFormula>
    </tableColumn>
    <tableColumn id="7" xr3:uid="{AA9C9BB5-46C9-4587-ACA6-7C323E988346}" name="atkCurHp">
      <calculatedColumnFormula array="1">INDEX(UnitData[CurHp], CombatData[[#This Row],[atkBUIndex]])</calculatedColumnFormula>
    </tableColumn>
    <tableColumn id="51" xr3:uid="{2D6F780E-6F0C-4EC0-ADED-19636170E3B4}" name="atkLck" dataDxfId="14">
      <calculatedColumnFormula array="1">INDEX(UnitData[Lck], CombatData[[#This Row],[atkBUIndex]])+INDEX(WeaponData[Lck], CombatData[[#This Row],[atkWpnIndex]])</calculatedColumnFormula>
    </tableColumn>
    <tableColumn id="8" xr3:uid="{6A8E14B5-8815-4D03-90F1-CC7EBA3477B8}" name="atkSpeed">
      <calculatedColumnFormula array="1">_xlfn.LET(_xlpm.spd, INDEX(UnitData[Spd], CombatData[[#This Row],[atkBUIndex]])+INDEX(WeaponData[Spd], CombatData[[#This Row],[atkWpnIndex]]), _xlpm.weightMod, MIN(0,INDEX(UnitData[Con],  CombatData[[#This Row],[atkBUIndex]])-INDEX(WeaponData[Weight], CombatData[[#This Row],[atkWpnIndex]])), MAX(0,_xlpm.spd+_xlpm.weightMod))</calculatedColumnFormula>
    </tableColumn>
    <tableColumn id="9" xr3:uid="{2FB59E50-3AE9-40ED-A1FF-B4A802F88AFF}" name="atkHit" dataDxfId="13">
      <calculatedColumnFormula array="1">_xlfn.LET(
_xlpm.Skl, INDEX(UnitData[Skl], CombatData[[#This Row],[atkBUIndex]])+INDEX(WeaponData[Skl], CombatData[[#This Row],[atkWpnIndex]]),
_xlpm.Lck,CombatData[[#This Row],[atkLck]],
_xlpm.wpnHit, INDEX(WeaponData[Hit], CombatData[[#This Row],[atkWpnIndex]]),
_xlpm.rankBonus, IF(INDEX(UnitData[Srank], CombatData[[#This Row],[atkBUIndex]])=INDEX(WeaponData[Category], CombatData[[#This Row],[atkWpnIndex]]), 5, 0),
_xlpm.enemySpd, CombatData[[#This Row],[defSpeed]],
_xlpm.enemyLck, CombatData[[#This Row],[defLck]],
_xlpm.enemyTerMulti,IF( COUNTIF(INDEX(ClassData[[Weakness1]:[Weakness3]], CombatData[[#This Row],[defClsIndex]], 0), "Flying")+COUNTIF(INDEX(ClassData[[Weakness1]:[Weakness3]], CombatData[[#This Row],[defClsIndex]], 0), "Hover") = 1, 0, 1),
_xlpm.enemyTerBonus, _xlpm.enemyTerMulti*INDEX(TerrainData[Avoid], CombatData[[#This Row],[defTerIndex]]),
_xlpm.triBonus, CombatData[[#This Row],[triBonus]],
_xlpm.Skl*2+INT(_xlpm.Lck/2) +_xlpm.wpnHit+_xlpm.rankBonus-_xlpm.enemySpd*2-_xlpm.enemyLck-_xlpm.enemyTerBonus+_xlpm.triBonus*15)</calculatedColumnFormula>
    </tableColumn>
    <tableColumn id="10" xr3:uid="{62A5A49F-6FD0-490B-BE8D-B225DB67A60F}" name="atkCrit" dataDxfId="12">
      <calculatedColumnFormula array="1">IF(INDEX(UnitData[HoplonGuard], CombatData[[#This Row],[defBUIndex]]), 0, IF(INDEX(WeaponData[NoCrit], CombatData[[#This Row],[atkWpnIndex]]), 0, _xlfn.LET(
_xlpm.Skl, INDEX(UnitData[Skl], CombatData[[#This Row],[atkBUIndex]])+INDEX(WeaponData[Skl], CombatData[[#This Row],[atkWpnIndex]]),
_xlpm.Wpn, INDEX(WeaponData[Crit], CombatData[[#This Row],[atkWpnIndex]]),
_xlpm.rankBonus, IF(INDEX(UnitData[Srank], CombatData[[#This Row],[atkBUIndex]])=INDEX(WeaponData[Category], CombatData[[#This Row],[atkWpnIndex]]), 5, 0),
_xlpm.enemyLck, CombatData[[#This Row],[defLck]],
INT(_xlpm.Skl/2)+_xlpm.Wpn+_xlpm.rankBonus-_xlpm.enemyLck)))</calculatedColumnFormula>
    </tableColumn>
    <tableColumn id="11" xr3:uid="{46512EB9-0FFE-4888-BD25-3507290F5339}" name="atkDmg" dataDxfId="11">
      <calculatedColumnFormula array="1">IF(CombatData[[#This Row],[atkWpn]]="Terrain",INT(INDEX(TerrainData[Heal Percent], CombatData[[#This Row],[atkTerIndex]])/100*CombatData[[#This Row],[atkMaxHP]]),_xlfn.LET(
    _xlpm.unitS_M, MAX(0,INDEX(UnitData[S/M], CombatData[[#This Row],[atkBUIndex]])+INDEX(WeaponData[S/M], CombatData[[#This Row],[atkWpnIndex]])),
    _xlpm.MagicSword, INDEX(WeaponData[IsRangedMagicSword], CombatData[[#This Row],[atkWpnIndex]]),
    _xlpm.unitDmg, IF(_xlpm.MagicSword, CEILING(_xlpm.unitS_M / 2, 0), _xlpm.unitS_M),
    _xlpm.wpnDmg, INDEX(WeaponData[Might], CombatData[[#This Row],[atkWpnIndex]]) + CombatData[[#This Row],[triBonus]],
    _xlpm.eff, INDEX(WeaponData[[Effective1]:[Effective2]], CombatData[[#This Row],[atkWpnIndex]], 0),
    _xlpm.weak, INDEX(ClassData[[Weakness1]:[Weakness3]], CombatData[[#This Row],[defClsIndex]], 0),
    _xlpm.weakCount, SUM(COUNTIF(_xlpm.eff, _xlpm.weak)),
    _xlpm.defFili, INDEX(UnitData[FiliShield], CombatData[[#This Row],[defBUIndex]]),
    _xlpm.wpnMulti, INDEX(WeaponData[Multiplier], CombatData[[#This Row],[atkWpnIndex]]),
    _xlpm.isWeak, _xlfn.IFS(
        _xlpm.weakCount &gt; 1, TRUE,
        _xlpm.weakCount = 0, FALSE,
        AND(
            COUNTIF(_xlpm.eff, "Flying") = 1,
            COUNTIF(_xlpm.weak, "Flying") = 1,
            _xlpm.defFili = TRUE
        ), FALSE,
        TRUE, TRUE
    ),
    _xlpm.bishopMulti, IF(
        AND(CombatData[[#This Row],[atkCls]] = "Bishop", COUNTIF(_xlpm.weak, "Monster") = 1),
        3,
        1
    ),
    _xlpm.finalMulti, IF(_xlpm.isWeak, _xlpm.wpnMulti, _xlpm.bishopMulti),
    IF(_xlpm.wpnDmg &lt; 0, -_xlpm.unitDmg + _xlpm.wpnDmg * _xlpm.finalMulti, _xlpm.unitDmg+_xlpm.wpnDmg*_xlpm.finalMulti)
))</calculatedColumnFormula>
    </tableColumn>
    <tableColumn id="12" xr3:uid="{741D76BF-3787-4145-9B2C-04636FBC8FCF}" name="atkDmgBlock" dataDxfId="10">
      <calculatedColumnFormula array="1">_xlfn.LET(
    _xlpm.isMagic, INDEX(WeaponData[IsMagic], CombatData[[#This Row],[defWpnIndex]]),
    _xlpm.enemyTerMulti, IF(
        COUNTIF(INDEX(ClassData[[Weakness1]:[Weakness3]], CombatData[[#This Row],[atkClsIndex]], 0), "Flying") +
        COUNTIF(INDEX(ClassData[[Weakness1]:[Weakness3]], CombatData[[#This Row],[atkClsIndex]], 0), "Hover") = 1,
        0,
        1
    ),
    _xlpm.def, INDEX(UnitData[Def], CombatData[[#This Row],[atkBUIndex]]) + INDEX(WeaponData[Def], CombatData[[#This Row],[atkWpnIndex]]) +
         _xlpm.enemyTerMulti * INDEX(TerrainData[Def], CombatData[[#This Row],[atkTerIndex]]),
    _xlpm.res, INDEX(UnitData[Res], CombatData[[#This Row],[atkBUIndex]]) + INDEX(WeaponData[Res], CombatData[[#This Row],[atkWpnIndex]]) +
         _xlpm.enemyTerMulti * INDEX(TerrainData[Res], CombatData[[#This Row],[atkTerIndex]]),
    _xlpm.ignores, INDEX(WeaponData[IsPiercing], CombatData[[#This Row],[defWpnIndex]]),
    _xlfn.IFS(_xlpm.ignores, 0, _xlpm.isMagic, _xlpm.res, TRUE, _xlpm.def)
)</calculatedColumnFormula>
    </tableColumn>
    <tableColumn id="13" xr3:uid="{7B5D429A-682A-4009-8BE0-B866946482BB}" name="atkSilencerVuln">
      <calculatedColumnFormula array="1">INDEX(ClassData[SilenceWeakness], CombatData[[#This Row],[atkClsIndex]])</calculatedColumnFormula>
    </tableColumn>
    <tableColumn id="46" xr3:uid="{33A5C963-6ED4-4EE5-8FE3-3B24C0426CF7}" name="atkBrave">
      <calculatedColumnFormula array="1">INDEX(WeaponData[IsBrave], CombatData[[#This Row],[atkWpnIndex]])=TRUE</calculatedColumnFormula>
    </tableColumn>
    <tableColumn id="54" xr3:uid="{FBD4E0A1-661F-4E14-8A0F-942C9AC215C5}" name="atkHealDmg">
      <calculatedColumnFormula array="1">INDEX(WeaponData[healOnHit], CombatData[[#This Row],[atkWpnIndex]])=TRUE</calculatedColumnFormula>
    </tableColumn>
    <tableColumn id="53" xr3:uid="{F8930A70-B763-4519-869C-E1DFB08063FB}" name="atkSelfDmg">
      <calculatedColumnFormula array="1">INDEX(WeaponData[canDmgSelf], CombatData[[#This Row],[atkWpnIndex]])=TRUE</calculatedColumnFormula>
    </tableColumn>
    <tableColumn id="15" xr3:uid="{14E97E93-0C14-4016-A116-A7EFA91F21F0}" name="defIsPlayer" dataDxfId="9">
      <calculatedColumnFormula array="1">INDEX(UnitData[Player], CombatData[[#This Row],[defBUIndex]])=TRUE</calculatedColumnFormula>
    </tableColumn>
    <tableColumn id="14" xr3:uid="{92D95F39-0165-486B-8E54-2A6087F30268}" name="defCls">
      <calculatedColumnFormula array="1">INDEX(UnitData[Class], CombatData[[#This Row],[defBUIndex]])</calculatedColumnFormula>
    </tableColumn>
    <tableColumn id="16" xr3:uid="{E632201D-281F-4E78-B4FF-9AF680473B0F}" name="defLvl">
      <calculatedColumnFormula array="1">INDEX(UnitData[Level], CombatData[[#This Row],[defBUIndex]])</calculatedColumnFormula>
    </tableColumn>
    <tableColumn id="17" xr3:uid="{987F87DA-3A09-4774-8EBC-C70CDA623E87}" name="defMaxHP">
      <calculatedColumnFormula array="1">INDEX(UnitData[MaxHp], CombatData[[#This Row],[defBUIndex]])</calculatedColumnFormula>
    </tableColumn>
    <tableColumn id="18" xr3:uid="{D556AF28-308C-4B90-91DF-5FBFD459708B}" name="defCurHP">
      <calculatedColumnFormula array="1">INDEX(UnitData[CurHp], CombatData[[#This Row],[defBUIndex]])</calculatedColumnFormula>
    </tableColumn>
    <tableColumn id="52" xr3:uid="{122A6DB6-B00C-46B7-B2B9-FEEDD92FCFF3}" name="defLck" dataDxfId="8">
      <calculatedColumnFormula array="1">INDEX(UnitData[Lck], CombatData[[#This Row],[defBUIndex]])+INDEX(WeaponData[Lck], CombatData[[#This Row],[defWpnIndex]])</calculatedColumnFormula>
    </tableColumn>
    <tableColumn id="50" xr3:uid="{779FBDA1-1F2D-41BB-9A7C-77B898586647}" name="defSpeed">
      <calculatedColumnFormula array="1">_xlfn.LET(
    _xlpm.spd, INDEX(UnitData[Spd], CombatData[[#This Row],[defBUIndex]]) + INDEX(WeaponData[Spd], CombatData[[#This Row],[defWpnIndex]]),
    _xlpm.weightMod, MIN(0, INDEX(UnitData[Con], CombatData[[#This Row],[defBUIndex]]) - INDEX(WeaponData[Weight], CombatData[[#This Row],[defWpnIndex]])),
    MAX(0, _xlpm.spd + _xlpm.weightMod)
)</calculatedColumnFormula>
    </tableColumn>
    <tableColumn id="19" xr3:uid="{2C5519E8-154B-4352-BE40-A36E60C0E60A}" name="defHit" dataDxfId="7">
      <calculatedColumnFormula array="1">_xlfn.LET(
    _xlpm.Skl, INDEX(UnitData[Skl], CombatData[[#This Row],[defBUIndex]]) + INDEX(WeaponData[Skl], CombatData[[#This Row],[defWpnIndex]]),
    _xlpm.Lck,CombatData[[#This Row],[defLck]],
    _xlpm.wpnHit, INDEX(WeaponData[Hit], CombatData[[#This Row],[defWpnIndex]]),
    _xlpm.rankBonus, IF(INDEX(UnitData[Srank], CombatData[[#This Row],[defBUIndex]]) = INDEX(WeaponData[Category], CombatData[[#This Row],[defWpnIndex]]), 5, 0),
    _xlpm.enemySpd, CombatData[[#This Row],[atkSpeed]],
    _xlpm.enemyLck, CombatData[[#This Row],[atkLck]],
    _xlpm.enemyTerMulti, IF(
        COUNTIF(INDEX(ClassData[[Weakness1]:[Weakness3]], CombatData[[#This Row],[atkClsIndex]], 0), "Flying") +
        COUNTIF(INDEX(ClassData[[Weakness1]:[Weakness3]], CombatData[[#This Row],[atkClsIndex]], 0), "Hover") = 1, 0, 1),
    _xlpm.enemyTerBonus, _xlpm.enemyTerMulti * INDEX(TerrainData[Avoid], CombatData[[#This Row],[atkTerIndex]]),
    _xlpm.triBonus, -CombatData[[#This Row],[triBonus]],
    _xlpm.Skl * 2 + INT(_xlpm.Lck / 2) + _xlpm.wpnHit + _xlpm.rankBonus - _xlpm.enemySpd * 2 - _xlpm.enemyLck - _xlpm.enemyTerBonus + _xlpm.triBonus * 15
)</calculatedColumnFormula>
    </tableColumn>
    <tableColumn id="20" xr3:uid="{8E6E71BE-BE4C-470D-AA4C-D20337630E38}" name="defCrit" dataDxfId="6">
      <calculatedColumnFormula array="1">IF(INDEX(UnitData[HoplonGuard], CombatData[[#This Row],[defBUIndex]]), 0,IF(
    INDEX(WeaponData[NoCrit], CombatData[[#This Row],[defWpnIndex]]),
    0,
    _xlfn.LET(
        _xlpm.Skl, INDEX(UnitData[Skl], CombatData[[#This Row],[defBUIndex]]) + INDEX(WeaponData[Skl], CombatData[[#This Row],[defWpnIndex]]),
        _xlpm.Wpn, INDEX(WeaponData[Crit], CombatData[[#This Row],[defWpnIndex]]),
        _xlpm.rankBonus, IF(INDEX(UnitData[Srank], CombatData[[#This Row],[defBUIndex]]) = INDEX(WeaponData[Category], CombatData[[#This Row],[defWpnIndex]]), 5, 0),
        _xlpm.enemyLck, CombatData[[#This Row],[atkLck]],
        INT(_xlpm.Skl / 2) + _xlpm.Wpn + _xlpm.rankBonus - _xlpm.enemyLck
    )
))</calculatedColumnFormula>
    </tableColumn>
    <tableColumn id="21" xr3:uid="{481F28FC-CCF4-4C83-A404-3FC2DF26FBF6}" name="defDmg" dataDxfId="5">
      <calculatedColumnFormula array="1">IF(CombatData[[#This Row],[defWpn]]="Terrain", INT(INDEX(TerrainData[Heal Percent], CombatData[[#This Row],[defTerIndex]])/100*CombatData[[#This Row],[defMaxHP]]),_xlfn.LET(
    _xlpm.unitS_M, MAX(0, INDEX(UnitData[S/M], CombatData[[#This Row],[defBUIndex]]) + INDEX(WeaponData[S/M], CombatData[[#This Row],[defWpnIndex]])),
    _xlpm.MagicSword, INDEX(WeaponData[IsRangedMagicSword], CombatData[[#This Row],[defWpnIndex]]),
    _xlpm.unitDmg, IF(_xlpm.MagicSword, CEILING(_xlpm.unitS_M / 2, 0), _xlpm.unitS_M),
    _xlpm.wpnDmg, INDEX(WeaponData[Might], CombatData[[#This Row],[defWpnIndex]]) - CombatData[[#This Row],[triBonus]],
    _xlpm.eff, INDEX(WeaponData[[Effective1]:[Effective2]], CombatData[[#This Row],[defWpnIndex]], 0),
    _xlpm.weak, INDEX(ClassData[[Weakness1]:[Weakness3]], CombatData[[#This Row],[atkClsIndex]], 0),
    _xlpm.weakCount, SUM(COUNTIF(_xlpm.eff, _xlpm.weak)),
    _xlpm.atkFili, INDEX(UnitData[FiliShield], CombatData[[#This Row],[atkBUIndex]]),
    _xlpm.wpnMulti, INDEX(WeaponData[Multiplier], CombatData[[#This Row],[defWpnIndex]]),
    _xlpm.isWeak, _xlfn.IFS(
        _xlpm.weakCount &gt; 1, TRUE,
        _xlpm.weakCount = 0, FALSE,
        AND(
            COUNTIF(_xlpm.eff, "Flying") = 1,
            COUNTIF(_xlpm.weak, "Flying") = 1,
            _xlpm.atkFili = TRUE
        ), FALSE,
        TRUE, TRUE
    ),
    _xlpm.bishopMulti, IF(
        AND(CombatData[[#This Row],[defCls]] = "Bishop", COUNTIF(_xlpm.weak, "Monster") = 1),
        3,
        1
    ),
    _xlpm.finalMulti, IF(_xlpm.isWeak, _xlpm.wpnMulti, _xlpm.bishopMulti),
    IF(
        _xlpm.wpnDmg &lt; 0,
        -_xlpm.unitDmg + _xlpm.wpnDmg * _xlpm.finalMulti,
        _xlpm.unitDmg + _xlpm.wpnDmg * _xlpm.finalMulti
    )
))</calculatedColumnFormula>
    </tableColumn>
    <tableColumn id="22" xr3:uid="{98F109C0-B0D1-46A9-B939-EC0250010708}" name="defDmgBlock" dataDxfId="4">
      <calculatedColumnFormula array="1">_xlfn.LET(_xlpm.isMagic, INDEX(WeaponData[IsMagic], CombatData[[#This Row],[atkWpnIndex]]),_xlpm.enemyTerMulti,IF( COUNTIF(INDEX(ClassData[[Weakness1]:[Weakness3]], CombatData[[#This Row],[defClsIndex]], 0), "Flying")+COUNTIF(INDEX(ClassData[[Weakness1]:[Weakness3]], CombatData[[#This Row],[defClsIndex]], 0), "Hover") = 1, 0, 1), _xlpm.def, INDEX(UnitData[Def], CombatData[[#This Row],[defBUIndex]])+INDEX(WeaponData[Def], CombatData[[#This Row],[defWpnIndex]])+_xlpm.enemyTerMulti*INDEX(TerrainData[Def], CombatData[[#This Row],[defTerIndex]]), _xlpm.res,INDEX(UnitData[Res], CombatData[[#This Row],[defBUIndex]])+INDEX(WeaponData[Res], CombatData[[#This Row],[defWpnIndex]])+_xlpm.enemyTerMulti*INDEX(TerrainData[Res], CombatData[[#This Row],[defTerIndex]]), _xlpm.ignores, INDEX(WeaponData[IsPiercing], CombatData[[#This Row],[atkWpnIndex]]), _xlfn.IFS(_xlpm.ignores, 0, _xlpm.isMagic, _xlpm.res, TRUE, _xlpm.def))</calculatedColumnFormula>
    </tableColumn>
    <tableColumn id="23" xr3:uid="{6BD62F44-C7E0-45C6-AC54-E8E214EEFD43}" name="defSilencerVuln">
      <calculatedColumnFormula array="1">INDEX(ClassData[SilenceWeakness], CombatData[[#This Row],[defClsIndex]])</calculatedColumnFormula>
    </tableColumn>
    <tableColumn id="47" xr3:uid="{CD5F9B75-6566-419A-B512-02815F3A27E6}" name="defBrave">
      <calculatedColumnFormula array="1">INDEX(WeaponData[IsBrave], CombatData[[#This Row],[defWpnIndex]])=TRUE</calculatedColumnFormula>
    </tableColumn>
    <tableColumn id="56" xr3:uid="{D6E6E50E-4DC8-41F9-A266-DB38DC550E45}" name="defHealDmg">
      <calculatedColumnFormula array="1">INDEX(WeaponData[healOnHit], CombatData[[#This Row],[defWpnIndex]])=TRUE</calculatedColumnFormula>
    </tableColumn>
    <tableColumn id="55" xr3:uid="{77844966-893F-4A13-8C47-78094A5AF81B}" name="defSelfDmg">
      <calculatedColumnFormula array="1">INDEX(WeaponData[canDmgSelf], CombatData[[#This Row],[defWpnIndex]])=TRUE</calculatedColumnFormula>
    </tableColumn>
    <tableColumn id="24" xr3:uid="{D379A7FE-6DAE-4A41-9F1A-E4D783701543}" name="atkBUIndex" dataDxfId="3">
      <calculatedColumnFormula>MATCH(CombatData[[#This Row],[atkName]], UnitData[Name], 0)</calculatedColumnFormula>
    </tableColumn>
    <tableColumn id="25" xr3:uid="{1B6B06D8-6D8C-47E4-815A-34472D64287E}" name="atkClsIndex">
      <calculatedColumnFormula>MATCH(CombatData[[#This Row],[atkCls]],ClassData[Class], 0)</calculatedColumnFormula>
    </tableColumn>
    <tableColumn id="26" xr3:uid="{B6FA111D-BEB9-4DAB-BB35-4EE3504443EB}" name="atkTerIndex" dataDxfId="2">
      <calculatedColumnFormula>MATCH(CombatData[[#This Row],[atkTer]], TerrainData[Terrain], 0)</calculatedColumnFormula>
    </tableColumn>
    <tableColumn id="27" xr3:uid="{6F707932-2864-4B45-AF0D-A312368B8948}" name="atkWpnIndex">
      <calculatedColumnFormula>MATCH(CombatData[[#This Row],[atkWpn]], WeaponData[Weapon], 0)</calculatedColumnFormula>
    </tableColumn>
    <tableColumn id="30" xr3:uid="{B7B392AF-197A-4299-8D50-BA3E30D4101B}" name="defBUIndex" dataDxfId="1">
      <calculatedColumnFormula>MATCH(CombatData[[#This Row],[defName]], UnitData[Name], 0)</calculatedColumnFormula>
    </tableColumn>
    <tableColumn id="31" xr3:uid="{A3C6CE63-6EEE-4153-A8D7-0FC0BA4B3C5C}" name="defClsIndex">
      <calculatedColumnFormula>MATCH(CombatData[[#This Row],[defCls]],ClassData[Class],0)</calculatedColumnFormula>
    </tableColumn>
    <tableColumn id="32" xr3:uid="{996B461E-12F1-422A-BD3E-7D7E479D34AD}" name="defTerIndex" dataDxfId="0">
      <calculatedColumnFormula>MATCH(CombatData[[#This Row],[defTer]], TerrainData[Terrain], 0)</calculatedColumnFormula>
    </tableColumn>
    <tableColumn id="33" xr3:uid="{7B76CCD5-7A49-4245-82CF-BB8B2093C80B}" name="defWpnIndex">
      <calculatedColumnFormula>MATCH(CombatData[[#This Row],[defWpn]], WeaponData[Weapon], 0)</calculatedColumnFormula>
    </tableColumn>
    <tableColumn id="35" xr3:uid="{BAD7F9D1-C456-4431-9FFB-35BD3CD6B234}" name="triBonus">
      <calculatedColumnFormula array="1">_xlfn.LET(_xlpm.triIndex, MATCH(INDEX(WeaponData[Triangle], CombatData[[#This Row],[atkWpnIndex]]), WeaponTriangleRules[Triangle], 0), _xlpm.defWpnTri, INDEX(WeaponData[Triangle], CombatData[[#This Row],[defWpnIndex]]), _xlpm.WTA, INDEX(WeaponTriangleRules[WTA Against], _xlpm.triIndex), _xlpm.WTD, INDEX(WeaponTriangleRules[WTD Against], _xlpm.triIndex), _xlpm.atkReav, INDEX(WeaponData[IsReaver],CombatData[[#This Row],[atkWpnIndex]]), _xlpm.defReav, INDEX(WeaponData[IsReaver], CombatData[[#This Row],[defWpnIndex]]), _xlpm.multiReav, IF(_xlpm.atkReav, IF(_xlpm.defReav, 1, -2), IF(_xlpm.defReav, -2, 1)), _xlpm.triBonus, _xlfn.IFS(_xlpm.WTA=_xlpm.defWpnTri, 1, _xlpm.WTD=_xlpm.defWpnTri, -1, TRUE, 0), IFERROR(_xlpm.triBonus*_xlpm.multiReav, 0))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ctrlProp" Target="../ctrlProps/ctrlProp1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F3240-A790-4DB7-8E0C-BC891B86C73F}">
  <sheetPr codeName="Sheet2"/>
  <dimension ref="A1:BA182"/>
  <sheetViews>
    <sheetView tabSelected="1" topLeftCell="AE1" zoomScaleNormal="100" workbookViewId="0">
      <selection activeCell="AX6" sqref="AX6"/>
    </sheetView>
  </sheetViews>
  <sheetFormatPr defaultRowHeight="14.4" x14ac:dyDescent="0.3"/>
  <cols>
    <col min="1" max="2" width="10.5546875" customWidth="1"/>
    <col min="3" max="3" width="8.88671875" customWidth="1"/>
    <col min="4" max="4" width="9.33203125" customWidth="1"/>
    <col min="5" max="5" width="8.88671875" customWidth="1"/>
    <col min="6" max="6" width="11.33203125" customWidth="1"/>
    <col min="7" max="8" width="10.88671875" customWidth="1"/>
    <col min="9" max="10" width="8.88671875" customWidth="1"/>
    <col min="11" max="11" width="9.33203125" customWidth="1"/>
    <col min="12" max="12" width="14" customWidth="1"/>
    <col min="13" max="13" width="16.109375" customWidth="1"/>
    <col min="14" max="14" width="8.88671875" customWidth="1"/>
    <col min="15" max="15" width="9.33203125" customWidth="1"/>
    <col min="16" max="16" width="8.88671875" customWidth="1"/>
    <col min="17" max="18" width="10.88671875" customWidth="1"/>
    <col min="21" max="21" width="9.33203125" customWidth="1"/>
    <col min="22" max="22" width="14" customWidth="1"/>
    <col min="23" max="23" width="16.109375" customWidth="1"/>
    <col min="24" max="28" width="8.88671875" customWidth="1"/>
    <col min="29" max="30" width="10.6640625" customWidth="1"/>
    <col min="52" max="52" width="11" bestFit="1" customWidth="1"/>
  </cols>
  <sheetData>
    <row r="1" spans="1:53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W1" t="s">
        <v>47</v>
      </c>
      <c r="AX1" t="s">
        <v>48</v>
      </c>
      <c r="AY1" t="s">
        <v>49</v>
      </c>
      <c r="AZ1" t="s">
        <v>50</v>
      </c>
      <c r="BA1">
        <v>0.90000999999999998</v>
      </c>
    </row>
    <row r="2" spans="1:53" x14ac:dyDescent="0.3">
      <c r="A2" s="1" t="s">
        <v>51</v>
      </c>
      <c r="B2" s="1" t="s">
        <v>52</v>
      </c>
      <c r="C2" s="1" t="s">
        <v>53</v>
      </c>
      <c r="D2" s="1" t="s">
        <v>54</v>
      </c>
      <c r="E2" s="1" t="s">
        <v>55</v>
      </c>
      <c r="F2" s="1" t="s">
        <v>56</v>
      </c>
      <c r="G2" s="1" t="b">
        <v>1</v>
      </c>
      <c r="H2" s="1"/>
      <c r="I2" t="b" cm="1">
        <f t="array" ref="I2">INDEX(UnitData[Player], CombatData[[#This Row],[atkBUIndex]])=TRUE</f>
        <v>1</v>
      </c>
      <c r="J2" t="str" cm="1">
        <f t="array" ref="J2">INDEX(UnitData[Class], CombatData[[#This Row],[atkBUIndex]])</f>
        <v>Wyvern Knight</v>
      </c>
      <c r="K2" cm="1">
        <f t="array" ref="K2">INDEX(UnitData[Level], CombatData[[#This Row],[atkBUIndex]])</f>
        <v>10</v>
      </c>
      <c r="L2" cm="1">
        <f t="array" ref="L2">INDEX(UnitData[MaxHp], CombatData[[#This Row],[atkBUIndex]])</f>
        <v>30</v>
      </c>
      <c r="M2" cm="1">
        <f t="array" ref="M2">INDEX(UnitData[CurHp], CombatData[[#This Row],[atkBUIndex]])</f>
        <v>30</v>
      </c>
      <c r="N2" cm="1">
        <f t="array" ref="N2">INDEX(UnitData[Lck], CombatData[[#This Row],[atkBUIndex]])+INDEX(WeaponData[Lck], CombatData[[#This Row],[atkWpnIndex]])</f>
        <v>20</v>
      </c>
      <c r="O2" cm="1">
        <f t="array" ref="O2">_xlfn.LET(_xlpm.spd, INDEX(UnitData[Spd], CombatData[[#This Row],[atkBUIndex]])+INDEX(WeaponData[Spd], CombatData[[#This Row],[atkWpnIndex]]), _xlpm.weightMod, MIN(0,INDEX(UnitData[Con],  CombatData[[#This Row],[atkBUIndex]])-INDEX(WeaponData[Weight], CombatData[[#This Row],[atkWpnIndex]])), MAX(0,_xlpm.spd+_xlpm.weightMod))</f>
        <v>12</v>
      </c>
      <c r="P2" cm="1">
        <f t="array" ref="P2">_xlfn.LET(
_xlpm.Skl, INDEX(UnitData[Skl], CombatData[[#This Row],[atkBUIndex]])+INDEX(WeaponData[Skl], CombatData[[#This Row],[atkWpnIndex]]),
_xlpm.Lck,CombatData[[#This Row],[atkLck]],
_xlpm.wpnHit, INDEX(WeaponData[Hit], CombatData[[#This Row],[atkWpnIndex]]),
_xlpm.rankBonus, IF(INDEX(UnitData[Srank], CombatData[[#This Row],[atkBUIndex]])=INDEX(WeaponData[Category], CombatData[[#This Row],[atkWpnIndex]]), 5, 0),
_xlpm.enemySpd, CombatData[[#This Row],[defSpeed]],
_xlpm.enemyLck, CombatData[[#This Row],[defLck]],
_xlpm.enemyTerMulti,IF( COUNTIF(INDEX(ClassData[[Weakness1]:[Weakness3]], CombatData[[#This Row],[defClsIndex]], 0), "Flying")+COUNTIF(INDEX(ClassData[[Weakness1]:[Weakness3]], CombatData[[#This Row],[defClsIndex]], 0), "Hover") = 1, 0, 1),
_xlpm.enemyTerBonus, _xlpm.enemyTerMulti*INDEX(TerrainData[Avoid], CombatData[[#This Row],[defTerIndex]]),
_xlpm.triBonus, CombatData[[#This Row],[triBonus]],
_xlpm.Skl*2+INT(_xlpm.Lck/2) +_xlpm.wpnHit+_xlpm.rankBonus-_xlpm.enemySpd*2-_xlpm.enemyLck-_xlpm.enemyTerBonus+_xlpm.triBonus*15)</f>
        <v>99</v>
      </c>
      <c r="Q2" cm="1">
        <f t="array" ref="Q2">IF(INDEX(UnitData[HoplonGuard], CombatData[[#This Row],[defBUIndex]]), 0, IF(INDEX(WeaponData[NoCrit], CombatData[[#This Row],[atkWpnIndex]]), 0, _xlfn.LET(
_xlpm.Skl, INDEX(UnitData[Skl], CombatData[[#This Row],[atkBUIndex]])+INDEX(WeaponData[Skl], CombatData[[#This Row],[atkWpnIndex]]),
_xlpm.Wpn, INDEX(WeaponData[Crit], CombatData[[#This Row],[atkWpnIndex]]),
_xlpm.rankBonus, IF(INDEX(UnitData[Srank], CombatData[[#This Row],[atkBUIndex]])=INDEX(WeaponData[Category], CombatData[[#This Row],[atkWpnIndex]]), 5, 0),
_xlpm.enemyLck, CombatData[[#This Row],[defLck]],
INT(_xlpm.Skl/2)+_xlpm.Wpn+_xlpm.rankBonus-_xlpm.enemyLck)))</f>
        <v>4</v>
      </c>
      <c r="R2" s="2" cm="1">
        <f t="array" ref="R2">IF(CombatData[[#This Row],[atkWpn]]="Terrain",INT(INDEX(TerrainData[Heal Percent], CombatData[[#This Row],[atkTerIndex]])/100*CombatData[[#This Row],[atkMaxHP]]),_xlfn.LET(
    _xlpm.unitS_M, MAX(0,INDEX(UnitData[S/M], CombatData[[#This Row],[atkBUIndex]])+INDEX(WeaponData[S/M], CombatData[[#This Row],[atkWpnIndex]])),
    _xlpm.MagicSword, INDEX(WeaponData[IsRangedMagicSword], CombatData[[#This Row],[atkWpnIndex]]),
    _xlpm.unitDmg, IF(_xlpm.MagicSword, CEILING(_xlpm.unitS_M / 2, 0), _xlpm.unitS_M),
    _xlpm.wpnDmg, INDEX(WeaponData[Might], CombatData[[#This Row],[atkWpnIndex]]) + CombatData[[#This Row],[triBonus]],
    _xlpm.eff, INDEX(WeaponData[[Effective1]:[Effective2]], CombatData[[#This Row],[atkWpnIndex]], 0),
    _xlpm.weak, INDEX(ClassData[[Weakness1]:[Weakness3]], CombatData[[#This Row],[defClsIndex]], 0),
    _xlpm.weakCount, SUM(COUNTIF(_xlpm.eff, _xlpm.weak)),
    _xlpm.defFili, INDEX(UnitData[FiliShield], CombatData[[#This Row],[defBUIndex]]),
    _xlpm.wpnMulti, INDEX(WeaponData[Multiplier], CombatData[[#This Row],[atkWpnIndex]]),
    _xlpm.isWeak, _xlfn.IFS(
        _xlpm.weakCount &gt; 1, TRUE,
        _xlpm.weakCount = 0, FALSE,
        AND(
            COUNTIF(_xlpm.eff, "Flying") = 1,
            COUNTIF(_xlpm.weak, "Flying") = 1,
            _xlpm.defFili = TRUE
        ), FALSE,
        TRUE, TRUE
    ),
    _xlpm.bishopMulti, IF(
        AND(CombatData[[#This Row],[atkCls]] = "Bishop", COUNTIF(_xlpm.weak, "Monster") = 1),
        3,
        1
    ),
    _xlpm.finalMulti, IF(_xlpm.isWeak, _xlpm.wpnMulti, _xlpm.bishopMulti),
    IF(_xlpm.wpnDmg &lt; 0, -_xlpm.unitDmg + _xlpm.wpnDmg * _xlpm.finalMulti, _xlpm.unitDmg+_xlpm.wpnDmg*_xlpm.finalMulti)
))</f>
        <v>21</v>
      </c>
      <c r="S2" cm="1">
        <f t="array" ref="S2">_xlfn.LET(
    _xlpm.isMagic, INDEX(WeaponData[IsMagic], CombatData[[#This Row],[defWpnIndex]]),
    _xlpm.enemyTerMulti, IF(
        COUNTIF(INDEX(ClassData[[Weakness1]:[Weakness3]], CombatData[[#This Row],[atkClsIndex]], 0), "Flying") +
        COUNTIF(INDEX(ClassData[[Weakness1]:[Weakness3]], CombatData[[#This Row],[atkClsIndex]], 0), "Hover") = 1,
        0,
        1
    ),
    _xlpm.def, INDEX(UnitData[Def], CombatData[[#This Row],[atkBUIndex]]) + INDEX(WeaponData[Def], CombatData[[#This Row],[atkWpnIndex]]) +
         _xlpm.enemyTerMulti * INDEX(TerrainData[Def], CombatData[[#This Row],[atkTerIndex]]),
    _xlpm.res, INDEX(UnitData[Res], CombatData[[#This Row],[atkBUIndex]]) + INDEX(WeaponData[Res], CombatData[[#This Row],[atkWpnIndex]]) +
         _xlpm.enemyTerMulti * INDEX(TerrainData[Res], CombatData[[#This Row],[atkTerIndex]]),
    _xlpm.ignores, INDEX(WeaponData[IsPiercing], CombatData[[#This Row],[defWpnIndex]]),
    _xlfn.IFS(_xlpm.ignores, 0, _xlpm.isMagic, _xlpm.res, TRUE, _xlpm.def)
)</f>
        <v>14</v>
      </c>
      <c r="T2" cm="1">
        <f t="array" ref="T2">INDEX(ClassData[SilenceWeakness], CombatData[[#This Row],[atkClsIndex]])</f>
        <v>50</v>
      </c>
      <c r="U2" t="b" cm="1">
        <f t="array" ref="U2">INDEX(WeaponData[IsBrave], CombatData[[#This Row],[atkWpnIndex]])=TRUE</f>
        <v>0</v>
      </c>
      <c r="V2" t="b" cm="1">
        <f t="array" ref="V2">INDEX(WeaponData[healOnHit], CombatData[[#This Row],[atkWpnIndex]])=TRUE</f>
        <v>0</v>
      </c>
      <c r="W2" t="b" cm="1">
        <f t="array" ref="W2">INDEX(WeaponData[canDmgSelf], CombatData[[#This Row],[atkWpnIndex]])=TRUE</f>
        <v>0</v>
      </c>
      <c r="X2" t="b" cm="1">
        <f t="array" ref="X2">INDEX(UnitData[Player], CombatData[[#This Row],[defBUIndex]])=TRUE</f>
        <v>0</v>
      </c>
      <c r="Y2" t="str" cm="1">
        <f t="array" ref="Y2">INDEX(UnitData[Class], CombatData[[#This Row],[defBUIndex]])</f>
        <v>Paladin</v>
      </c>
      <c r="Z2" cm="1">
        <f t="array" ref="Z2">INDEX(UnitData[Level], CombatData[[#This Row],[defBUIndex]])</f>
        <v>1</v>
      </c>
      <c r="AA2" cm="1">
        <f t="array" ref="AA2">INDEX(UnitData[MaxHp], CombatData[[#This Row],[defBUIndex]])</f>
        <v>45</v>
      </c>
      <c r="AB2" cm="1">
        <f t="array" ref="AB2">INDEX(UnitData[CurHp], CombatData[[#This Row],[defBUIndex]])</f>
        <v>45</v>
      </c>
      <c r="AC2" cm="1">
        <f t="array" ref="AC2">INDEX(UnitData[Lck], CombatData[[#This Row],[defBUIndex]])+INDEX(WeaponData[Lck], CombatData[[#This Row],[defWpnIndex]])</f>
        <v>7</v>
      </c>
      <c r="AD2" cm="1">
        <f t="array" ref="AD2">_xlfn.LET(
    _xlpm.spd, INDEX(UnitData[Spd], CombatData[[#This Row],[defBUIndex]]) + INDEX(WeaponData[Spd], CombatData[[#This Row],[defWpnIndex]]),
    _xlpm.weightMod, MIN(0, INDEX(UnitData[Con], CombatData[[#This Row],[defBUIndex]]) - INDEX(WeaponData[Weight], CombatData[[#This Row],[defWpnIndex]])),
    MAX(0, _xlpm.spd + _xlpm.weightMod)
)</f>
        <v>9</v>
      </c>
      <c r="AE2" cm="1">
        <f t="array" ref="AE2">_xlfn.LET(
    _xlpm.Skl, INDEX(UnitData[Skl], CombatData[[#This Row],[defBUIndex]]) + INDEX(WeaponData[Skl], CombatData[[#This Row],[defWpnIndex]]),
    _xlpm.Lck,CombatData[[#This Row],[defLck]],
    _xlpm.wpnHit, INDEX(WeaponData[Hit], CombatData[[#This Row],[defWpnIndex]]),
    _xlpm.rankBonus, IF(INDEX(UnitData[Srank], CombatData[[#This Row],[defBUIndex]]) = INDEX(WeaponData[Category], CombatData[[#This Row],[defWpnIndex]]), 5, 0),
    _xlpm.enemySpd, CombatData[[#This Row],[atkSpeed]],
    _xlpm.enemyLck, CombatData[[#This Row],[atkLck]],
    _xlpm.enemyTerMulti, IF(
        COUNTIF(INDEX(ClassData[[Weakness1]:[Weakness3]], CombatData[[#This Row],[atkClsIndex]], 0), "Flying") +
        COUNTIF(INDEX(ClassData[[Weakness1]:[Weakness3]], CombatData[[#This Row],[atkClsIndex]], 0), "Hover") = 1, 0, 1),
    _xlpm.enemyTerBonus, _xlpm.enemyTerMulti * INDEX(TerrainData[Avoid], CombatData[[#This Row],[atkTerIndex]]),
    _xlpm.triBonus, -CombatData[[#This Row],[triBonus]],
    _xlpm.Skl * 2 + INT(_xlpm.Lck / 2) + _xlpm.wpnHit + _xlpm.rankBonus - _xlpm.enemySpd * 2 - _xlpm.enemyLck - _xlpm.enemyTerBonus + _xlpm.triBonus * 15
)</f>
        <v>80</v>
      </c>
      <c r="AF2" cm="1">
        <f t="array" ref="AF2">IF(INDEX(UnitData[HoplonGuard], CombatData[[#This Row],[defBUIndex]]), 0,IF(
    INDEX(WeaponData[NoCrit], CombatData[[#This Row],[defWpnIndex]]),
    0,
    _xlfn.LET(
        _xlpm.Skl, INDEX(UnitData[Skl], CombatData[[#This Row],[defBUIndex]]) + INDEX(WeaponData[Skl], CombatData[[#This Row],[defWpnIndex]]),
        _xlpm.Wpn, INDEX(WeaponData[Crit], CombatData[[#This Row],[defWpnIndex]]),
        _xlpm.rankBonus, IF(INDEX(UnitData[Srank], CombatData[[#This Row],[defBUIndex]]) = INDEX(WeaponData[Category], CombatData[[#This Row],[defWpnIndex]]), 5, 0),
        _xlpm.enemyLck, CombatData[[#This Row],[atkLck]],
        INT(_xlpm.Skl / 2) + _xlpm.Wpn + _xlpm.rankBonus - _xlpm.enemyLck
    )
))</f>
        <v>-11</v>
      </c>
      <c r="AG2" cm="1">
        <f t="array" ref="AG2">IF(CombatData[[#This Row],[defWpn]]="Terrain", INT(INDEX(TerrainData[Heal Percent], CombatData[[#This Row],[defTerIndex]])/100*CombatData[[#This Row],[defMaxHP]]),_xlfn.LET(
    _xlpm.unitS_M, MAX(0, INDEX(UnitData[S/M], CombatData[[#This Row],[defBUIndex]]) + INDEX(WeaponData[S/M], CombatData[[#This Row],[defWpnIndex]])),
    _xlpm.MagicSword, INDEX(WeaponData[IsRangedMagicSword], CombatData[[#This Row],[defWpnIndex]]),
    _xlpm.unitDmg, IF(_xlpm.MagicSword, CEILING(_xlpm.unitS_M / 2, 0), _xlpm.unitS_M),
    _xlpm.wpnDmg, INDEX(WeaponData[Might], CombatData[[#This Row],[defWpnIndex]]) - CombatData[[#This Row],[triBonus]],
    _xlpm.eff, INDEX(WeaponData[[Effective1]:[Effective2]], CombatData[[#This Row],[defWpnIndex]], 0),
    _xlpm.weak, INDEX(ClassData[[Weakness1]:[Weakness3]], CombatData[[#This Row],[atkClsIndex]], 0),
    _xlpm.weakCount, SUM(COUNTIF(_xlpm.eff, _xlpm.weak)),
    _xlpm.atkFili, INDEX(UnitData[FiliShield], CombatData[[#This Row],[atkBUIndex]]),
    _xlpm.wpnMulti, INDEX(WeaponData[Multiplier], CombatData[[#This Row],[defWpnIndex]]),
    _xlpm.isWeak, _xlfn.IFS(
        _xlpm.weakCount &gt; 1, TRUE,
        _xlpm.weakCount = 0, FALSE,
        AND(
            COUNTIF(_xlpm.eff, "Flying") = 1,
            COUNTIF(_xlpm.weak, "Flying") = 1,
            _xlpm.atkFili = TRUE
        ), FALSE,
        TRUE, TRUE
    ),
    _xlpm.bishopMulti, IF(
        AND(CombatData[[#This Row],[defCls]] = "Bishop", COUNTIF(_xlpm.weak, "Monster") = 1),
        3,
        1
    ),
    _xlpm.finalMulti, IF(_xlpm.isWeak, _xlpm.wpnMulti, _xlpm.bishopMulti),
    IF(
        _xlpm.wpnDmg &lt; 0,
        -_xlpm.unitDmg + _xlpm.wpnDmg * _xlpm.finalMulti,
        _xlpm.unitDmg + _xlpm.wpnDmg * _xlpm.finalMulti
    )
))</f>
        <v>35</v>
      </c>
      <c r="AH2" cm="1">
        <f t="array" ref="AH2">_xlfn.LET(_xlpm.isMagic, INDEX(WeaponData[IsMagic], CombatData[[#This Row],[atkWpnIndex]]),_xlpm.enemyTerMulti,IF( COUNTIF(INDEX(ClassData[[Weakness1]:[Weakness3]], CombatData[[#This Row],[defClsIndex]], 0), "Flying")+COUNTIF(INDEX(ClassData[[Weakness1]:[Weakness3]], CombatData[[#This Row],[defClsIndex]], 0), "Hover") = 1, 0, 1), _xlpm.def, INDEX(UnitData[Def], CombatData[[#This Row],[defBUIndex]])+INDEX(WeaponData[Def], CombatData[[#This Row],[defWpnIndex]])+_xlpm.enemyTerMulti*INDEX(TerrainData[Def], CombatData[[#This Row],[defTerIndex]]), _xlpm.res,INDEX(UnitData[Res], CombatData[[#This Row],[defBUIndex]])+INDEX(WeaponData[Res], CombatData[[#This Row],[defWpnIndex]])+_xlpm.enemyTerMulti*INDEX(TerrainData[Res], CombatData[[#This Row],[defTerIndex]]), _xlpm.ignores, INDEX(WeaponData[IsPiercing], CombatData[[#This Row],[atkWpnIndex]]), _xlfn.IFS(_xlpm.ignores, 0, _xlpm.isMagic, _xlpm.res, TRUE, _xlpm.def))</f>
        <v>25</v>
      </c>
      <c r="AI2" cm="1">
        <f t="array" ref="AI2">INDEX(ClassData[SilenceWeakness], CombatData[[#This Row],[defClsIndex]])</f>
        <v>50</v>
      </c>
      <c r="AJ2" t="b" cm="1">
        <f t="array" ref="AJ2">INDEX(WeaponData[IsBrave], CombatData[[#This Row],[defWpnIndex]])=TRUE</f>
        <v>0</v>
      </c>
      <c r="AK2" t="b" cm="1">
        <f t="array" ref="AK2">INDEX(WeaponData[healOnHit], CombatData[[#This Row],[defWpnIndex]])=TRUE</f>
        <v>0</v>
      </c>
      <c r="AL2" t="b" cm="1">
        <f t="array" ref="AL2">INDEX(WeaponData[canDmgSelf], CombatData[[#This Row],[defWpnIndex]])=TRUE</f>
        <v>0</v>
      </c>
      <c r="AM2">
        <f>MATCH(CombatData[[#This Row],[atkName]], UnitData[Name], 0)</f>
        <v>3</v>
      </c>
      <c r="AN2">
        <f>MATCH(CombatData[[#This Row],[atkCls]],ClassData[Class], 0)</f>
        <v>24</v>
      </c>
      <c r="AO2">
        <f>MATCH(CombatData[[#This Row],[atkTer]], TerrainData[Terrain], 0)</f>
        <v>2</v>
      </c>
      <c r="AP2">
        <f>MATCH(CombatData[[#This Row],[atkWpn]], WeaponData[Weapon], 0)</f>
        <v>39</v>
      </c>
      <c r="AQ2">
        <f>MATCH(CombatData[[#This Row],[defName]], UnitData[Name], 0)</f>
        <v>2</v>
      </c>
      <c r="AR2">
        <f>MATCH(CombatData[[#This Row],[defCls]],ClassData[Class],0)</f>
        <v>8</v>
      </c>
      <c r="AS2">
        <f>MATCH(CombatData[[#This Row],[defTer]], TerrainData[Terrain], 0)</f>
        <v>1</v>
      </c>
      <c r="AT2">
        <f>MATCH(CombatData[[#This Row],[defWpn]], WeaponData[Weapon], 0)</f>
        <v>58</v>
      </c>
      <c r="AU2" s="2" cm="1">
        <f t="array" ref="AU2">_xlfn.LET(_xlpm.triIndex, MATCH(INDEX(WeaponData[Triangle], CombatData[[#This Row],[atkWpnIndex]]), WeaponTriangleRules[Triangle], 0), _xlpm.defWpnTri, INDEX(WeaponData[Triangle], CombatData[[#This Row],[defWpnIndex]]), _xlpm.WTA, INDEX(WeaponTriangleRules[WTA Against], _xlpm.triIndex), _xlpm.WTD, INDEX(WeaponTriangleRules[WTD Against], _xlpm.triIndex), _xlpm.atkReav, INDEX(WeaponData[IsReaver],CombatData[[#This Row],[atkWpnIndex]]), _xlpm.defReav, INDEX(WeaponData[IsReaver], CombatData[[#This Row],[defWpnIndex]]), _xlpm.multiReav, IF(_xlpm.atkReav, IF(_xlpm.defReav, 1, -2), IF(_xlpm.defReav, -2, 1)), _xlpm.triBonus, _xlfn.IFS(_xlpm.WTA=_xlpm.defWpnTri, 1, _xlpm.WTD=_xlpm.defWpnTri, -1, TRUE, 0), IFERROR(_xlpm.triBonus*_xlpm.multiReav, 0))</f>
        <v>0</v>
      </c>
      <c r="AW2">
        <v>0.123969281436</v>
      </c>
      <c r="AX2">
        <v>0</v>
      </c>
      <c r="AY2">
        <v>0.87603071856400005</v>
      </c>
      <c r="AZ2" t="s">
        <v>57</v>
      </c>
      <c r="BA2">
        <v>9.5990400000000003E-2</v>
      </c>
    </row>
    <row r="3" spans="1:53" x14ac:dyDescent="0.3">
      <c r="A3" s="1" t="s">
        <v>58</v>
      </c>
      <c r="B3" s="1" t="s">
        <v>59</v>
      </c>
      <c r="C3" s="1" t="s">
        <v>60</v>
      </c>
      <c r="D3" s="1" t="s">
        <v>61</v>
      </c>
      <c r="E3" s="1" t="s">
        <v>62</v>
      </c>
      <c r="F3" s="1" t="s">
        <v>63</v>
      </c>
      <c r="G3" s="1" t="b">
        <v>0</v>
      </c>
      <c r="H3" s="1"/>
      <c r="I3" t="b" cm="1">
        <f t="array" ref="I3">INDEX(UnitData[Player], CombatData[[#This Row],[atkBUIndex]])=TRUE</f>
        <v>1</v>
      </c>
      <c r="J3" t="str" cm="1">
        <f t="array" ref="J3">INDEX(UnitData[Class], CombatData[[#This Row],[atkBUIndex]])</f>
        <v>Swordmaster</v>
      </c>
      <c r="K3" cm="1">
        <f t="array" ref="K3">INDEX(UnitData[Level], CombatData[[#This Row],[atkBUIndex]])</f>
        <v>15</v>
      </c>
      <c r="L3" cm="1">
        <f t="array" ref="L3">INDEX(UnitData[MaxHp], CombatData[[#This Row],[atkBUIndex]])</f>
        <v>35</v>
      </c>
      <c r="M3" cm="1">
        <f t="array" ref="M3">INDEX(UnitData[CurHp], CombatData[[#This Row],[atkBUIndex]])</f>
        <v>35</v>
      </c>
      <c r="N3" cm="1">
        <f t="array" ref="N3">INDEX(UnitData[Lck], CombatData[[#This Row],[atkBUIndex]])+INDEX(WeaponData[Lck], CombatData[[#This Row],[atkWpnIndex]])</f>
        <v>15</v>
      </c>
      <c r="O3" cm="1">
        <f t="array" ref="O3">_xlfn.LET(_xlpm.spd, INDEX(UnitData[Spd], CombatData[[#This Row],[atkBUIndex]])+INDEX(WeaponData[Spd], CombatData[[#This Row],[atkWpnIndex]]), _xlpm.weightMod, MIN(0,INDEX(UnitData[Con],  CombatData[[#This Row],[atkBUIndex]])-INDEX(WeaponData[Weight], CombatData[[#This Row],[atkWpnIndex]])), MAX(0,_xlpm.spd+_xlpm.weightMod))</f>
        <v>25</v>
      </c>
      <c r="P3" cm="1">
        <f t="array" ref="P3">_xlfn.LET(
_xlpm.Skl, INDEX(UnitData[Skl], CombatData[[#This Row],[atkBUIndex]])+INDEX(WeaponData[Skl], CombatData[[#This Row],[atkWpnIndex]]),
_xlpm.Lck,CombatData[[#This Row],[atkLck]],
_xlpm.wpnHit, INDEX(WeaponData[Hit], CombatData[[#This Row],[atkWpnIndex]]),
_xlpm.rankBonus, IF(INDEX(UnitData[Srank], CombatData[[#This Row],[atkBUIndex]])=INDEX(WeaponData[Category], CombatData[[#This Row],[atkWpnIndex]]), 5, 0),
_xlpm.enemySpd, CombatData[[#This Row],[defSpeed]],
_xlpm.enemyLck, CombatData[[#This Row],[defLck]],
_xlpm.enemyTerMulti,IF( COUNTIF(INDEX(ClassData[[Weakness1]:[Weakness3]], CombatData[[#This Row],[defClsIndex]], 0), "Flying")+COUNTIF(INDEX(ClassData[[Weakness1]:[Weakness3]], CombatData[[#This Row],[defClsIndex]], 0), "Hover") = 1, 0, 1),
_xlpm.enemyTerBonus, _xlpm.enemyTerMulti*INDEX(TerrainData[Avoid], CombatData[[#This Row],[defTerIndex]]),
_xlpm.triBonus, CombatData[[#This Row],[triBonus]],
_xlpm.Skl*2+INT(_xlpm.Lck/2) +_xlpm.wpnHit+_xlpm.rankBonus-_xlpm.enemySpd*2-_xlpm.enemyLck-_xlpm.enemyTerBonus+_xlpm.triBonus*15)</f>
        <v>66</v>
      </c>
      <c r="Q3" cm="1">
        <f t="array" ref="Q3">IF(INDEX(UnitData[HoplonGuard], CombatData[[#This Row],[defBUIndex]]), 0, IF(INDEX(WeaponData[NoCrit], CombatData[[#This Row],[atkWpnIndex]]), 0, _xlfn.LET(
_xlpm.Skl, INDEX(UnitData[Skl], CombatData[[#This Row],[atkBUIndex]])+INDEX(WeaponData[Skl], CombatData[[#This Row],[atkWpnIndex]]),
_xlpm.Wpn, INDEX(WeaponData[Crit], CombatData[[#This Row],[atkWpnIndex]]),
_xlpm.rankBonus, IF(INDEX(UnitData[Srank], CombatData[[#This Row],[atkBUIndex]])=INDEX(WeaponData[Category], CombatData[[#This Row],[atkWpnIndex]]), 5, 0),
_xlpm.enemyLck, CombatData[[#This Row],[defLck]],
INT(_xlpm.Skl/2)+_xlpm.Wpn+_xlpm.rankBonus-_xlpm.enemyLck)))</f>
        <v>11</v>
      </c>
      <c r="R3" cm="1">
        <f t="array" ref="R3">IF(CombatData[[#This Row],[atkWpn]]="Terrain",INT(INDEX(TerrainData[Heal Percent], CombatData[[#This Row],[atkTerIndex]])/100*CombatData[[#This Row],[atkMaxHP]]),_xlfn.LET(
    _xlpm.unitS_M, MAX(0,INDEX(UnitData[S/M], CombatData[[#This Row],[atkBUIndex]])+INDEX(WeaponData[S/M], CombatData[[#This Row],[atkWpnIndex]])),
    _xlpm.MagicSword, INDEX(WeaponData[IsRangedMagicSword], CombatData[[#This Row],[atkWpnIndex]]),
    _xlpm.unitDmg, IF(_xlpm.MagicSword, CEILING(_xlpm.unitS_M / 2, 0), _xlpm.unitS_M),
    _xlpm.wpnDmg, INDEX(WeaponData[Might], CombatData[[#This Row],[atkWpnIndex]]) + CombatData[[#This Row],[triBonus]],
    _xlpm.eff, INDEX(WeaponData[[Effective1]:[Effective2]], CombatData[[#This Row],[atkWpnIndex]], 0),
    _xlpm.weak, INDEX(ClassData[[Weakness1]:[Weakness3]], CombatData[[#This Row],[defClsIndex]], 0),
    _xlpm.weakCount, SUM(COUNTIF(_xlpm.eff, _xlpm.weak)),
    _xlpm.defFili, INDEX(UnitData[FiliShield], CombatData[[#This Row],[defBUIndex]]),
    _xlpm.wpnMulti, INDEX(WeaponData[Multiplier], CombatData[[#This Row],[atkWpnIndex]]),
    _xlpm.isWeak, _xlfn.IFS(
        _xlpm.weakCount &gt; 1, TRUE,
        _xlpm.weakCount = 0, FALSE,
        AND(
            COUNTIF(_xlpm.eff, "Flying") = 1,
            COUNTIF(_xlpm.weak, "Flying") = 1,
            _xlpm.defFili = TRUE
        ), FALSE,
        TRUE, TRUE
    ),
    _xlpm.bishopMulti, IF(
        AND(CombatData[[#This Row],[atkCls]] = "Bishop", COUNTIF(_xlpm.weak, "Monster") = 1),
        3,
        1
    ),
    _xlpm.finalMulti, IF(_xlpm.isWeak, _xlpm.wpnMulti, _xlpm.bishopMulti),
    IF(_xlpm.wpnDmg &lt; 0, -_xlpm.unitDmg + _xlpm.wpnDmg * _xlpm.finalMulti, _xlpm.unitDmg+_xlpm.wpnDmg*_xlpm.finalMulti)
))</f>
        <v>27</v>
      </c>
      <c r="S3" cm="1">
        <f t="array" ref="S3">_xlfn.LET(
    _xlpm.isMagic, INDEX(WeaponData[IsMagic], CombatData[[#This Row],[defWpnIndex]]),
    _xlpm.enemyTerMulti, IF(
        COUNTIF(INDEX(ClassData[[Weakness1]:[Weakness3]], CombatData[[#This Row],[atkClsIndex]], 0), "Flying") +
        COUNTIF(INDEX(ClassData[[Weakness1]:[Weakness3]], CombatData[[#This Row],[atkClsIndex]], 0), "Hover") = 1,
        0,
        1
    ),
    _xlpm.def, INDEX(UnitData[Def], CombatData[[#This Row],[atkBUIndex]]) + INDEX(WeaponData[Def], CombatData[[#This Row],[atkWpnIndex]]) +
         _xlpm.enemyTerMulti * INDEX(TerrainData[Def], CombatData[[#This Row],[atkTerIndex]]),
    _xlpm.res, INDEX(UnitData[Res], CombatData[[#This Row],[atkBUIndex]]) + INDEX(WeaponData[Res], CombatData[[#This Row],[atkWpnIndex]]) +
         _xlpm.enemyTerMulti * INDEX(TerrainData[Res], CombatData[[#This Row],[atkTerIndex]]),
    _xlpm.ignores, INDEX(WeaponData[IsPiercing], CombatData[[#This Row],[defWpnIndex]]),
    _xlfn.IFS(_xlpm.ignores, 0, _xlpm.isMagic, _xlpm.res, TRUE, _xlpm.def)
)</f>
        <v>13</v>
      </c>
      <c r="T3" cm="1">
        <f t="array" ref="T3">INDEX(ClassData[SilenceWeakness], CombatData[[#This Row],[atkClsIndex]])</f>
        <v>50</v>
      </c>
      <c r="U3" t="b" cm="1">
        <f t="array" ref="U3">INDEX(WeaponData[IsBrave], CombatData[[#This Row],[atkWpnIndex]])=TRUE</f>
        <v>0</v>
      </c>
      <c r="V3" t="b" cm="1">
        <f t="array" ref="V3">INDEX(WeaponData[healOnHit], CombatData[[#This Row],[atkWpnIndex]])=TRUE</f>
        <v>0</v>
      </c>
      <c r="W3" t="b" cm="1">
        <f t="array" ref="W3">INDEX(WeaponData[canDmgSelf], CombatData[[#This Row],[atkWpnIndex]])=TRUE</f>
        <v>0</v>
      </c>
      <c r="X3" t="b" cm="1">
        <f t="array" ref="X3">INDEX(UnitData[Player], CombatData[[#This Row],[defBUIndex]])=TRUE</f>
        <v>0</v>
      </c>
      <c r="Y3" t="str" cm="1">
        <f t="array" ref="Y3">INDEX(UnitData[Class], CombatData[[#This Row],[defBUIndex]])</f>
        <v>Sniper</v>
      </c>
      <c r="Z3" cm="1">
        <f t="array" ref="Z3">INDEX(UnitData[Level], CombatData[[#This Row],[defBUIndex]])</f>
        <v>6</v>
      </c>
      <c r="AA3" cm="1">
        <f t="array" ref="AA3">INDEX(UnitData[MaxHp], CombatData[[#This Row],[defBUIndex]])</f>
        <v>40</v>
      </c>
      <c r="AB3" cm="1">
        <f t="array" ref="AB3">INDEX(UnitData[CurHp], CombatData[[#This Row],[defBUIndex]])</f>
        <v>30</v>
      </c>
      <c r="AC3" cm="1">
        <f t="array" ref="AC3">INDEX(UnitData[Lck], CombatData[[#This Row],[defBUIndex]])+INDEX(WeaponData[Lck], CombatData[[#This Row],[defWpnIndex]])</f>
        <v>6</v>
      </c>
      <c r="AD3" cm="1">
        <f t="array" ref="AD3">_xlfn.LET(
    _xlpm.spd, INDEX(UnitData[Spd], CombatData[[#This Row],[defBUIndex]]) + INDEX(WeaponData[Spd], CombatData[[#This Row],[defWpnIndex]]),
    _xlpm.weightMod, MIN(0, INDEX(UnitData[Con], CombatData[[#This Row],[defBUIndex]]) - INDEX(WeaponData[Weight], CombatData[[#This Row],[defWpnIndex]])),
    MAX(0, _xlpm.spd + _xlpm.weightMod)
)</f>
        <v>20</v>
      </c>
      <c r="AE3" cm="1">
        <f t="array" ref="AE3">_xlfn.LET(
    _xlpm.Skl, INDEX(UnitData[Skl], CombatData[[#This Row],[defBUIndex]]) + INDEX(WeaponData[Skl], CombatData[[#This Row],[defWpnIndex]]),
    _xlpm.Lck,CombatData[[#This Row],[defLck]],
    _xlpm.wpnHit, INDEX(WeaponData[Hit], CombatData[[#This Row],[defWpnIndex]]),
    _xlpm.rankBonus, IF(INDEX(UnitData[Srank], CombatData[[#This Row],[defBUIndex]]) = INDEX(WeaponData[Category], CombatData[[#This Row],[defWpnIndex]]), 5, 0),
    _xlpm.enemySpd, CombatData[[#This Row],[atkSpeed]],
    _xlpm.enemyLck, CombatData[[#This Row],[atkLck]],
    _xlpm.enemyTerMulti, IF(
        COUNTIF(INDEX(ClassData[[Weakness1]:[Weakness3]], CombatData[[#This Row],[atkClsIndex]], 0), "Flying") +
        COUNTIF(INDEX(ClassData[[Weakness1]:[Weakness3]], CombatData[[#This Row],[atkClsIndex]], 0), "Hover") = 1, 0, 1),
    _xlpm.enemyTerBonus, _xlpm.enemyTerMulti * INDEX(TerrainData[Avoid], CombatData[[#This Row],[atkTerIndex]]),
    _xlpm.triBonus, -CombatData[[#This Row],[triBonus]],
    _xlpm.Skl * 2 + INT(_xlpm.Lck / 2) + _xlpm.wpnHit + _xlpm.rankBonus - _xlpm.enemySpd * 2 - _xlpm.enemyLck - _xlpm.enemyTerBonus + _xlpm.triBonus * 15
)</f>
        <v>38</v>
      </c>
      <c r="AF3" cm="1">
        <f t="array" ref="AF3">IF(INDEX(UnitData[HoplonGuard], CombatData[[#This Row],[defBUIndex]]), 0,IF(
    INDEX(WeaponData[NoCrit], CombatData[[#This Row],[defWpnIndex]]),
    0,
    _xlfn.LET(
        _xlpm.Skl, INDEX(UnitData[Skl], CombatData[[#This Row],[defBUIndex]]) + INDEX(WeaponData[Skl], CombatData[[#This Row],[defWpnIndex]]),
        _xlpm.Wpn, INDEX(WeaponData[Crit], CombatData[[#This Row],[defWpnIndex]]),
        _xlpm.rankBonus, IF(INDEX(UnitData[Srank], CombatData[[#This Row],[defBUIndex]]) = INDEX(WeaponData[Category], CombatData[[#This Row],[defWpnIndex]]), 5, 0),
        _xlpm.enemyLck, CombatData[[#This Row],[atkLck]],
        INT(_xlpm.Skl / 2) + _xlpm.Wpn + _xlpm.rankBonus - _xlpm.enemyLck
    )
))</f>
        <v>0</v>
      </c>
      <c r="AG3" cm="1">
        <f t="array" ref="AG3">IF(CombatData[[#This Row],[defWpn]]="Terrain", INT(INDEX(TerrainData[Heal Percent], CombatData[[#This Row],[defTerIndex]])/100*CombatData[[#This Row],[defMaxHP]]),_xlfn.LET(
    _xlpm.unitS_M, MAX(0, INDEX(UnitData[S/M], CombatData[[#This Row],[defBUIndex]]) + INDEX(WeaponData[S/M], CombatData[[#This Row],[defWpnIndex]])),
    _xlpm.MagicSword, INDEX(WeaponData[IsRangedMagicSword], CombatData[[#This Row],[defWpnIndex]]),
    _xlpm.unitDmg, IF(_xlpm.MagicSword, CEILING(_xlpm.unitS_M / 2, 0), _xlpm.unitS_M),
    _xlpm.wpnDmg, INDEX(WeaponData[Might], CombatData[[#This Row],[defWpnIndex]]) - CombatData[[#This Row],[triBonus]],
    _xlpm.eff, INDEX(WeaponData[[Effective1]:[Effective2]], CombatData[[#This Row],[defWpnIndex]], 0),
    _xlpm.weak, INDEX(ClassData[[Weakness1]:[Weakness3]], CombatData[[#This Row],[atkClsIndex]], 0),
    _xlpm.weakCount, SUM(COUNTIF(_xlpm.eff, _xlpm.weak)),
    _xlpm.atkFili, INDEX(UnitData[FiliShield], CombatData[[#This Row],[atkBUIndex]]),
    _xlpm.wpnMulti, INDEX(WeaponData[Multiplier], CombatData[[#This Row],[defWpnIndex]]),
    _xlpm.isWeak, _xlfn.IFS(
        _xlpm.weakCount &gt; 1, TRUE,
        _xlpm.weakCount = 0, FALSE,
        AND(
            COUNTIF(_xlpm.eff, "Flying") = 1,
            COUNTIF(_xlpm.weak, "Flying") = 1,
            _xlpm.atkFili = TRUE
        ), FALSE,
        TRUE, TRUE
    ),
    _xlpm.bishopMulti, IF(
        AND(CombatData[[#This Row],[defCls]] = "Bishop", COUNTIF(_xlpm.weak, "Monster") = 1),
        3,
        1
    ),
    _xlpm.finalMulti, IF(_xlpm.isWeak, _xlpm.wpnMulti, _xlpm.bishopMulti),
    IF(
        _xlpm.wpnDmg &lt; 0,
        -_xlpm.unitDmg + _xlpm.wpnDmg * _xlpm.finalMulti,
        _xlpm.unitDmg + _xlpm.wpnDmg * _xlpm.finalMulti
    )
))</f>
        <v>28</v>
      </c>
      <c r="AH3" cm="1">
        <f t="array" ref="AH3">_xlfn.LET(_xlpm.isMagic, INDEX(WeaponData[IsMagic], CombatData[[#This Row],[atkWpnIndex]]),_xlpm.enemyTerMulti,IF( COUNTIF(INDEX(ClassData[[Weakness1]:[Weakness3]], CombatData[[#This Row],[defClsIndex]], 0), "Flying")+COUNTIF(INDEX(ClassData[[Weakness1]:[Weakness3]], CombatData[[#This Row],[defClsIndex]], 0), "Hover") = 1, 0, 1), _xlpm.def, INDEX(UnitData[Def], CombatData[[#This Row],[defBUIndex]])+INDEX(WeaponData[Def], CombatData[[#This Row],[defWpnIndex]])+_xlpm.enemyTerMulti*INDEX(TerrainData[Def], CombatData[[#This Row],[defTerIndex]]), _xlpm.res,INDEX(UnitData[Res], CombatData[[#This Row],[defBUIndex]])+INDEX(WeaponData[Res], CombatData[[#This Row],[defWpnIndex]])+_xlpm.enemyTerMulti*INDEX(TerrainData[Res], CombatData[[#This Row],[defTerIndex]]), _xlpm.ignores, INDEX(WeaponData[IsPiercing], CombatData[[#This Row],[atkWpnIndex]]), _xlfn.IFS(_xlpm.ignores, 0, _xlpm.isMagic, _xlpm.res, TRUE, _xlpm.def))</f>
        <v>18</v>
      </c>
      <c r="AI3" cm="1">
        <f t="array" ref="AI3">INDEX(ClassData[SilenceWeakness], CombatData[[#This Row],[defClsIndex]])</f>
        <v>50</v>
      </c>
      <c r="AJ3" t="b" cm="1">
        <f t="array" ref="AJ3">INDEX(WeaponData[IsBrave], CombatData[[#This Row],[defWpnIndex]])=TRUE</f>
        <v>0</v>
      </c>
      <c r="AK3" t="b" cm="1">
        <f t="array" ref="AK3">INDEX(WeaponData[healOnHit], CombatData[[#This Row],[defWpnIndex]])=TRUE</f>
        <v>0</v>
      </c>
      <c r="AL3" t="b" cm="1">
        <f t="array" ref="AL3">INDEX(WeaponData[canDmgSelf], CombatData[[#This Row],[defWpnIndex]])=TRUE</f>
        <v>0</v>
      </c>
      <c r="AM3">
        <f>MATCH(CombatData[[#This Row],[atkName]], UnitData[Name], 0)</f>
        <v>1</v>
      </c>
      <c r="AN3">
        <f>MATCH(CombatData[[#This Row],[atkCls]],ClassData[Class], 0)</f>
        <v>15</v>
      </c>
      <c r="AO3">
        <f>MATCH(CombatData[[#This Row],[atkTer]], TerrainData[Terrain], 0)</f>
        <v>4</v>
      </c>
      <c r="AP3">
        <f>MATCH(CombatData[[#This Row],[atkWpn]], WeaponData[Weapon], 0)</f>
        <v>4</v>
      </c>
      <c r="AQ3">
        <f>MATCH(CombatData[[#This Row],[defName]], UnitData[Name], 0)</f>
        <v>4</v>
      </c>
      <c r="AR3">
        <f>MATCH(CombatData[[#This Row],[defCls]],ClassData[Class],0)</f>
        <v>20</v>
      </c>
      <c r="AS3">
        <f>MATCH(CombatData[[#This Row],[defTer]], TerrainData[Terrain], 0)</f>
        <v>10</v>
      </c>
      <c r="AT3">
        <f>MATCH(CombatData[[#This Row],[defWpn]], WeaponData[Weapon], 0)</f>
        <v>60</v>
      </c>
      <c r="AU3" cm="1">
        <f t="array" ref="AU3">_xlfn.LET(_xlpm.triIndex, MATCH(INDEX(WeaponData[Triangle], CombatData[[#This Row],[atkWpnIndex]]), WeaponTriangleRules[Triangle], 0), _xlpm.defWpnTri, INDEX(WeaponData[Triangle], CombatData[[#This Row],[defWpnIndex]]), _xlpm.WTA, INDEX(WeaponTriangleRules[WTA Against], _xlpm.triIndex), _xlpm.WTD, INDEX(WeaponTriangleRules[WTD Against], _xlpm.triIndex), _xlpm.atkReav, INDEX(WeaponData[IsReaver],CombatData[[#This Row],[atkWpnIndex]]), _xlpm.defReav, INDEX(WeaponData[IsReaver], CombatData[[#This Row],[defWpnIndex]]), _xlpm.multiReav, IF(_xlpm.atkReav, IF(_xlpm.defReav, 1, -2), IF(_xlpm.defReav, -2, 1)), _xlpm.triBonus, _xlfn.IFS(_xlpm.WTA=_xlpm.defWpnTri, 1, _xlpm.WTD=_xlpm.defWpnTri, -1, TRUE, 0), IFERROR(_xlpm.triBonus*_xlpm.multiReav, 0))</f>
        <v>0</v>
      </c>
      <c r="AZ3" t="s">
        <v>402</v>
      </c>
      <c r="BA3">
        <v>3.9996000000000007E-3</v>
      </c>
    </row>
    <row r="4" spans="1:53" x14ac:dyDescent="0.3">
      <c r="A4" s="1" t="s">
        <v>61</v>
      </c>
      <c r="B4" s="1" t="s">
        <v>62</v>
      </c>
      <c r="C4" s="1" t="s">
        <v>63</v>
      </c>
      <c r="D4" s="1" t="s">
        <v>51</v>
      </c>
      <c r="E4" s="1" t="s">
        <v>65</v>
      </c>
      <c r="F4" s="1" t="s">
        <v>53</v>
      </c>
      <c r="G4" s="1" t="b">
        <v>0</v>
      </c>
      <c r="H4" s="1"/>
      <c r="I4" t="b" cm="1">
        <f t="array" ref="I4">INDEX(UnitData[Player], CombatData[[#This Row],[atkBUIndex]])=TRUE</f>
        <v>0</v>
      </c>
      <c r="J4" t="str" cm="1">
        <f t="array" ref="J4">INDEX(UnitData[Class], CombatData[[#This Row],[atkBUIndex]])</f>
        <v>Sniper</v>
      </c>
      <c r="K4" cm="1">
        <f t="array" ref="K4">INDEX(UnitData[Level], CombatData[[#This Row],[atkBUIndex]])</f>
        <v>6</v>
      </c>
      <c r="L4" cm="1">
        <f t="array" ref="L4">INDEX(UnitData[MaxHp], CombatData[[#This Row],[atkBUIndex]])</f>
        <v>40</v>
      </c>
      <c r="M4" cm="1">
        <f t="array" ref="M4">INDEX(UnitData[CurHp], CombatData[[#This Row],[atkBUIndex]])</f>
        <v>30</v>
      </c>
      <c r="N4" cm="1">
        <f t="array" ref="N4">INDEX(UnitData[Lck], CombatData[[#This Row],[atkBUIndex]])+INDEX(WeaponData[Lck], CombatData[[#This Row],[atkWpnIndex]])</f>
        <v>6</v>
      </c>
      <c r="O4" cm="1">
        <f t="array" ref="O4">_xlfn.LET(_xlpm.spd, INDEX(UnitData[Spd], CombatData[[#This Row],[atkBUIndex]])+INDEX(WeaponData[Spd], CombatData[[#This Row],[atkWpnIndex]]), _xlpm.weightMod, MIN(0,INDEX(UnitData[Con],  CombatData[[#This Row],[atkBUIndex]])-INDEX(WeaponData[Weight], CombatData[[#This Row],[atkWpnIndex]])), MAX(0,_xlpm.spd+_xlpm.weightMod))</f>
        <v>20</v>
      </c>
      <c r="P4" cm="1">
        <f t="array" ref="P4">_xlfn.LET(
_xlpm.Skl, INDEX(UnitData[Skl], CombatData[[#This Row],[atkBUIndex]])+INDEX(WeaponData[Skl], CombatData[[#This Row],[atkWpnIndex]]),
_xlpm.Lck,CombatData[[#This Row],[atkLck]],
_xlpm.wpnHit, INDEX(WeaponData[Hit], CombatData[[#This Row],[atkWpnIndex]]),
_xlpm.rankBonus, IF(INDEX(UnitData[Srank], CombatData[[#This Row],[atkBUIndex]])=INDEX(WeaponData[Category], CombatData[[#This Row],[atkWpnIndex]]), 5, 0),
_xlpm.enemySpd, CombatData[[#This Row],[defSpeed]],
_xlpm.enemyLck, CombatData[[#This Row],[defLck]],
_xlpm.enemyTerMulti,IF( COUNTIF(INDEX(ClassData[[Weakness1]:[Weakness3]], CombatData[[#This Row],[defClsIndex]], 0), "Flying")+COUNTIF(INDEX(ClassData[[Weakness1]:[Weakness3]], CombatData[[#This Row],[defClsIndex]], 0), "Hover") = 1, 0, 1),
_xlpm.enemyTerBonus, _xlpm.enemyTerMulti*INDEX(TerrainData[Avoid], CombatData[[#This Row],[defTerIndex]]),
_xlpm.triBonus, CombatData[[#This Row],[triBonus]],
_xlpm.Skl*2+INT(_xlpm.Lck/2) +_xlpm.wpnHit+_xlpm.rankBonus-_xlpm.enemySpd*2-_xlpm.enemyLck-_xlpm.enemyTerBonus+_xlpm.triBonus*15)</f>
        <v>103</v>
      </c>
      <c r="Q4" cm="1">
        <f t="array" ref="Q4">IF(INDEX(UnitData[HoplonGuard], CombatData[[#This Row],[defBUIndex]]), 0, IF(INDEX(WeaponData[NoCrit], CombatData[[#This Row],[atkWpnIndex]]), 0, _xlfn.LET(
_xlpm.Skl, INDEX(UnitData[Skl], CombatData[[#This Row],[atkBUIndex]])+INDEX(WeaponData[Skl], CombatData[[#This Row],[atkWpnIndex]]),
_xlpm.Wpn, INDEX(WeaponData[Crit], CombatData[[#This Row],[atkWpnIndex]]),
_xlpm.rankBonus, IF(INDEX(UnitData[Srank], CombatData[[#This Row],[atkBUIndex]])=INDEX(WeaponData[Category], CombatData[[#This Row],[atkWpnIndex]]), 5, 0),
_xlpm.enemyLck, CombatData[[#This Row],[defLck]],
INT(_xlpm.Skl/2)+_xlpm.Wpn+_xlpm.rankBonus-_xlpm.enemyLck)))</f>
        <v>-5</v>
      </c>
      <c r="R4" cm="1">
        <f t="array" ref="R4">IF(CombatData[[#This Row],[atkWpn]]="Terrain",INT(INDEX(TerrainData[Heal Percent], CombatData[[#This Row],[atkTerIndex]])/100*CombatData[[#This Row],[atkMaxHP]]),_xlfn.LET(
    _xlpm.unitS_M, MAX(0,INDEX(UnitData[S/M], CombatData[[#This Row],[atkBUIndex]])+INDEX(WeaponData[S/M], CombatData[[#This Row],[atkWpnIndex]])),
    _xlpm.MagicSword, INDEX(WeaponData[IsRangedMagicSword], CombatData[[#This Row],[atkWpnIndex]]),
    _xlpm.unitDmg, IF(_xlpm.MagicSword, CEILING(_xlpm.unitS_M / 2, 0), _xlpm.unitS_M),
    _xlpm.wpnDmg, INDEX(WeaponData[Might], CombatData[[#This Row],[atkWpnIndex]]) + CombatData[[#This Row],[triBonus]],
    _xlpm.eff, INDEX(WeaponData[[Effective1]:[Effective2]], CombatData[[#This Row],[atkWpnIndex]], 0),
    _xlpm.weak, INDEX(ClassData[[Weakness1]:[Weakness3]], CombatData[[#This Row],[defClsIndex]], 0),
    _xlpm.weakCount, SUM(COUNTIF(_xlpm.eff, _xlpm.weak)),
    _xlpm.defFili, INDEX(UnitData[FiliShield], CombatData[[#This Row],[defBUIndex]]),
    _xlpm.wpnMulti, INDEX(WeaponData[Multiplier], CombatData[[#This Row],[atkWpnIndex]]),
    _xlpm.isWeak, _xlfn.IFS(
        _xlpm.weakCount &gt; 1, TRUE,
        _xlpm.weakCount = 0, FALSE,
        AND(
            COUNTIF(_xlpm.eff, "Flying") = 1,
            COUNTIF(_xlpm.weak, "Flying") = 1,
            _xlpm.defFili = TRUE
        ), FALSE,
        TRUE, TRUE
    ),
    _xlpm.bishopMulti, IF(
        AND(CombatData[[#This Row],[atkCls]] = "Bishop", COUNTIF(_xlpm.weak, "Monster") = 1),
        3,
        1
    ),
    _xlpm.finalMulti, IF(_xlpm.isWeak, _xlpm.wpnMulti, _xlpm.bishopMulti),
    IF(_xlpm.wpnDmg &lt; 0, -_xlpm.unitDmg + _xlpm.wpnDmg * _xlpm.finalMulti, _xlpm.unitDmg+_xlpm.wpnDmg*_xlpm.finalMulti)
))</f>
        <v>54</v>
      </c>
      <c r="S4" cm="1">
        <f t="array" ref="S4">_xlfn.LET(
    _xlpm.isMagic, INDEX(WeaponData[IsMagic], CombatData[[#This Row],[defWpnIndex]]),
    _xlpm.enemyTerMulti, IF(
        COUNTIF(INDEX(ClassData[[Weakness1]:[Weakness3]], CombatData[[#This Row],[atkClsIndex]], 0), "Flying") +
        COUNTIF(INDEX(ClassData[[Weakness1]:[Weakness3]], CombatData[[#This Row],[atkClsIndex]], 0), "Hover") = 1,
        0,
        1
    ),
    _xlpm.def, INDEX(UnitData[Def], CombatData[[#This Row],[atkBUIndex]]) + INDEX(WeaponData[Def], CombatData[[#This Row],[atkWpnIndex]]) +
         _xlpm.enemyTerMulti * INDEX(TerrainData[Def], CombatData[[#This Row],[atkTerIndex]]),
    _xlpm.res, INDEX(UnitData[Res], CombatData[[#This Row],[atkBUIndex]]) + INDEX(WeaponData[Res], CombatData[[#This Row],[atkWpnIndex]]) +
         _xlpm.enemyTerMulti * INDEX(TerrainData[Res], CombatData[[#This Row],[atkTerIndex]]),
    _xlpm.ignores, INDEX(WeaponData[IsPiercing], CombatData[[#This Row],[defWpnIndex]]),
    _xlfn.IFS(_xlpm.ignores, 0, _xlpm.isMagic, _xlpm.res, TRUE, _xlpm.def)
)</f>
        <v>0</v>
      </c>
      <c r="T4" cm="1">
        <f t="array" ref="T4">INDEX(ClassData[SilenceWeakness], CombatData[[#This Row],[atkClsIndex]])</f>
        <v>50</v>
      </c>
      <c r="U4" t="b" cm="1">
        <f t="array" ref="U4">INDEX(WeaponData[IsBrave], CombatData[[#This Row],[atkWpnIndex]])=TRUE</f>
        <v>0</v>
      </c>
      <c r="V4" t="b" cm="1">
        <f t="array" ref="V4">INDEX(WeaponData[healOnHit], CombatData[[#This Row],[atkWpnIndex]])=TRUE</f>
        <v>0</v>
      </c>
      <c r="W4" t="b" cm="1">
        <f t="array" ref="W4">INDEX(WeaponData[canDmgSelf], CombatData[[#This Row],[atkWpnIndex]])=TRUE</f>
        <v>0</v>
      </c>
      <c r="X4" t="b" cm="1">
        <f t="array" ref="X4">INDEX(UnitData[Player], CombatData[[#This Row],[defBUIndex]])=TRUE</f>
        <v>1</v>
      </c>
      <c r="Y4" t="str" cm="1">
        <f t="array" ref="Y4">INDEX(UnitData[Class], CombatData[[#This Row],[defBUIndex]])</f>
        <v>Wyvern Knight</v>
      </c>
      <c r="Z4" cm="1">
        <f t="array" ref="Z4">INDEX(UnitData[Level], CombatData[[#This Row],[defBUIndex]])</f>
        <v>10</v>
      </c>
      <c r="AA4" cm="1">
        <f t="array" ref="AA4">INDEX(UnitData[MaxHp], CombatData[[#This Row],[defBUIndex]])</f>
        <v>30</v>
      </c>
      <c r="AB4" cm="1">
        <f t="array" ref="AB4">INDEX(UnitData[CurHp], CombatData[[#This Row],[defBUIndex]])</f>
        <v>30</v>
      </c>
      <c r="AC4" cm="1">
        <f t="array" ref="AC4">INDEX(UnitData[Lck], CombatData[[#This Row],[defBUIndex]])+INDEX(WeaponData[Lck], CombatData[[#This Row],[defWpnIndex]])</f>
        <v>20</v>
      </c>
      <c r="AD4" cm="1">
        <f t="array" ref="AD4">_xlfn.LET(
    _xlpm.spd, INDEX(UnitData[Spd], CombatData[[#This Row],[defBUIndex]]) + INDEX(WeaponData[Spd], CombatData[[#This Row],[defWpnIndex]]),
    _xlpm.weightMod, MIN(0, INDEX(UnitData[Con], CombatData[[#This Row],[defBUIndex]]) - INDEX(WeaponData[Weight], CombatData[[#This Row],[defWpnIndex]])),
    MAX(0, _xlpm.spd + _xlpm.weightMod)
)</f>
        <v>0</v>
      </c>
      <c r="AE4" cm="1">
        <f t="array" ref="AE4">_xlfn.LET(
    _xlpm.Skl, INDEX(UnitData[Skl], CombatData[[#This Row],[defBUIndex]]) + INDEX(WeaponData[Skl], CombatData[[#This Row],[defWpnIndex]]),
    _xlpm.Lck,CombatData[[#This Row],[defLck]],
    _xlpm.wpnHit, INDEX(WeaponData[Hit], CombatData[[#This Row],[defWpnIndex]]),
    _xlpm.rankBonus, IF(INDEX(UnitData[Srank], CombatData[[#This Row],[defBUIndex]]) = INDEX(WeaponData[Category], CombatData[[#This Row],[defWpnIndex]]), 5, 0),
    _xlpm.enemySpd, CombatData[[#This Row],[atkSpeed]],
    _xlpm.enemyLck, CombatData[[#This Row],[atkLck]],
    _xlpm.enemyTerMulti, IF(
        COUNTIF(INDEX(ClassData[[Weakness1]:[Weakness3]], CombatData[[#This Row],[atkClsIndex]], 0), "Flying") +
        COUNTIF(INDEX(ClassData[[Weakness1]:[Weakness3]], CombatData[[#This Row],[atkClsIndex]], 0), "Hover") = 1, 0, 1),
    _xlpm.enemyTerBonus, _xlpm.enemyTerMulti * INDEX(TerrainData[Avoid], CombatData[[#This Row],[atkTerIndex]]),
    _xlpm.triBonus, -CombatData[[#This Row],[triBonus]],
    _xlpm.Skl * 2 + INT(_xlpm.Lck / 2) + _xlpm.wpnHit + _xlpm.rankBonus - _xlpm.enemySpd * 2 - _xlpm.enemyLck - _xlpm.enemyTerBonus + _xlpm.triBonus * 15
)</f>
        <v>978</v>
      </c>
      <c r="AF4" cm="1">
        <f t="array" ref="AF4">IF(INDEX(UnitData[HoplonGuard], CombatData[[#This Row],[defBUIndex]]), 0,IF(
    INDEX(WeaponData[NoCrit], CombatData[[#This Row],[defWpnIndex]]),
    0,
    _xlfn.LET(
        _xlpm.Skl, INDEX(UnitData[Skl], CombatData[[#This Row],[defBUIndex]]) + INDEX(WeaponData[Skl], CombatData[[#This Row],[defWpnIndex]]),
        _xlpm.Wpn, INDEX(WeaponData[Crit], CombatData[[#This Row],[defWpnIndex]]),
        _xlpm.rankBonus, IF(INDEX(UnitData[Srank], CombatData[[#This Row],[defBUIndex]]) = INDEX(WeaponData[Category], CombatData[[#This Row],[defWpnIndex]]), 5, 0),
        _xlpm.enemyLck, CombatData[[#This Row],[atkLck]],
        INT(_xlpm.Skl / 2) + _xlpm.Wpn + _xlpm.rankBonus - _xlpm.enemyLck
    )
))</f>
        <v>0</v>
      </c>
      <c r="AG4" cm="1">
        <f t="array" ref="AG4">IF(CombatData[[#This Row],[defWpn]]="Terrain", INT(INDEX(TerrainData[Heal Percent], CombatData[[#This Row],[defTerIndex]])/100*CombatData[[#This Row],[defMaxHP]]),_xlfn.LET(
    _xlpm.unitS_M, MAX(0, INDEX(UnitData[S/M], CombatData[[#This Row],[defBUIndex]]) + INDEX(WeaponData[S/M], CombatData[[#This Row],[defWpnIndex]])),
    _xlpm.MagicSword, INDEX(WeaponData[IsRangedMagicSword], CombatData[[#This Row],[defWpnIndex]]),
    _xlpm.unitDmg, IF(_xlpm.MagicSword, CEILING(_xlpm.unitS_M / 2, 0), _xlpm.unitS_M),
    _xlpm.wpnDmg, INDEX(WeaponData[Might], CombatData[[#This Row],[defWpnIndex]]) - CombatData[[#This Row],[triBonus]],
    _xlpm.eff, INDEX(WeaponData[[Effective1]:[Effective2]], CombatData[[#This Row],[defWpnIndex]], 0),
    _xlpm.weak, INDEX(ClassData[[Weakness1]:[Weakness3]], CombatData[[#This Row],[atkClsIndex]], 0),
    _xlpm.weakCount, SUM(COUNTIF(_xlpm.eff, _xlpm.weak)),
    _xlpm.atkFili, INDEX(UnitData[FiliShield], CombatData[[#This Row],[atkBUIndex]]),
    _xlpm.wpnMulti, INDEX(WeaponData[Multiplier], CombatData[[#This Row],[defWpnIndex]]),
    _xlpm.isWeak, _xlfn.IFS(
        _xlpm.weakCount &gt; 1, TRUE,
        _xlpm.weakCount = 0, FALSE,
        AND(
            COUNTIF(_xlpm.eff, "Flying") = 1,
            COUNTIF(_xlpm.weak, "Flying") = 1,
            _xlpm.atkFili = TRUE
        ), FALSE,
        TRUE, TRUE
    ),
    _xlpm.bishopMulti, IF(
        AND(CombatData[[#This Row],[defCls]] = "Bishop", COUNTIF(_xlpm.weak, "Monster") = 1),
        3,
        1
    ),
    _xlpm.finalMulti, IF(_xlpm.isWeak, _xlpm.wpnMulti, _xlpm.bishopMulti),
    IF(
        _xlpm.wpnDmg &lt; 0,
        -_xlpm.unitDmg + _xlpm.wpnDmg * _xlpm.finalMulti,
        _xlpm.unitDmg + _xlpm.wpnDmg * _xlpm.finalMulti
    )
))</f>
        <v>0</v>
      </c>
      <c r="AH4" cm="1">
        <f t="array" ref="AH4">_xlfn.LET(_xlpm.isMagic, INDEX(WeaponData[IsMagic], CombatData[[#This Row],[atkWpnIndex]]),_xlpm.enemyTerMulti,IF( COUNTIF(INDEX(ClassData[[Weakness1]:[Weakness3]], CombatData[[#This Row],[defClsIndex]], 0), "Flying")+COUNTIF(INDEX(ClassData[[Weakness1]:[Weakness3]], CombatData[[#This Row],[defClsIndex]], 0), "Hover") = 1, 0, 1), _xlpm.def, INDEX(UnitData[Def], CombatData[[#This Row],[defBUIndex]])+INDEX(WeaponData[Def], CombatData[[#This Row],[defWpnIndex]])+_xlpm.enemyTerMulti*INDEX(TerrainData[Def], CombatData[[#This Row],[defTerIndex]]), _xlpm.res,INDEX(UnitData[Res], CombatData[[#This Row],[defBUIndex]])+INDEX(WeaponData[Res], CombatData[[#This Row],[defWpnIndex]])+_xlpm.enemyTerMulti*INDEX(TerrainData[Res], CombatData[[#This Row],[defTerIndex]]), _xlpm.ignores, INDEX(WeaponData[IsPiercing], CombatData[[#This Row],[atkWpnIndex]]), _xlfn.IFS(_xlpm.ignores, 0, _xlpm.isMagic, _xlpm.res, TRUE, _xlpm.def))</f>
        <v>14</v>
      </c>
      <c r="AI4" cm="1">
        <f t="array" ref="AI4">INDEX(ClassData[SilenceWeakness], CombatData[[#This Row],[defClsIndex]])</f>
        <v>50</v>
      </c>
      <c r="AJ4" t="b" cm="1">
        <f t="array" ref="AJ4">INDEX(WeaponData[IsBrave], CombatData[[#This Row],[defWpnIndex]])=TRUE</f>
        <v>0</v>
      </c>
      <c r="AK4" t="b" cm="1">
        <f t="array" ref="AK4">INDEX(WeaponData[healOnHit], CombatData[[#This Row],[defWpnIndex]])=TRUE</f>
        <v>0</v>
      </c>
      <c r="AL4" t="b" cm="1">
        <f t="array" ref="AL4">INDEX(WeaponData[canDmgSelf], CombatData[[#This Row],[defWpnIndex]])=TRUE</f>
        <v>0</v>
      </c>
      <c r="AM4">
        <f>MATCH(CombatData[[#This Row],[atkName]], UnitData[Name], 0)</f>
        <v>4</v>
      </c>
      <c r="AN4">
        <f>MATCH(CombatData[[#This Row],[atkCls]],ClassData[Class], 0)</f>
        <v>20</v>
      </c>
      <c r="AO4">
        <f>MATCH(CombatData[[#This Row],[atkTer]], TerrainData[Terrain], 0)</f>
        <v>10</v>
      </c>
      <c r="AP4">
        <f>MATCH(CombatData[[#This Row],[atkWpn]], WeaponData[Weapon], 0)</f>
        <v>60</v>
      </c>
      <c r="AQ4">
        <f>MATCH(CombatData[[#This Row],[defName]], UnitData[Name], 0)</f>
        <v>3</v>
      </c>
      <c r="AR4">
        <f>MATCH(CombatData[[#This Row],[defCls]],ClassData[Class],0)</f>
        <v>24</v>
      </c>
      <c r="AS4">
        <f>MATCH(CombatData[[#This Row],[defTer]], TerrainData[Terrain], 0)</f>
        <v>2</v>
      </c>
      <c r="AT4">
        <f>MATCH(CombatData[[#This Row],[defWpn]], WeaponData[Weapon], 0)</f>
        <v>112</v>
      </c>
      <c r="AU4" cm="1">
        <f t="array" ref="AU4">_xlfn.LET(_xlpm.triIndex, MATCH(INDEX(WeaponData[Triangle], CombatData[[#This Row],[atkWpnIndex]]), WeaponTriangleRules[Triangle], 0), _xlpm.defWpnTri, INDEX(WeaponData[Triangle], CombatData[[#This Row],[defWpnIndex]]), _xlpm.WTA, INDEX(WeaponTriangleRules[WTA Against], _xlpm.triIndex), _xlpm.WTD, INDEX(WeaponTriangleRules[WTD Against], _xlpm.triIndex), _xlpm.atkReav, INDEX(WeaponData[IsReaver],CombatData[[#This Row],[atkWpnIndex]]), _xlpm.defReav, INDEX(WeaponData[IsReaver], CombatData[[#This Row],[defWpnIndex]]), _xlpm.multiReav, IF(_xlpm.atkReav, IF(_xlpm.defReav, 1, -2), IF(_xlpm.defReav, -2, 1)), _xlpm.triBonus, _xlfn.IFS(_xlpm.WTA=_xlpm.defWpnTri, 1, _xlpm.WTD=_xlpm.defWpnTri, -1, TRUE, 0), IFERROR(_xlpm.triBonus*_xlpm.multiReav, 0))</f>
        <v>0</v>
      </c>
    </row>
    <row r="5" spans="1:53" x14ac:dyDescent="0.3">
      <c r="AZ5" t="s">
        <v>66</v>
      </c>
      <c r="BA5">
        <v>0.82980922000000001</v>
      </c>
    </row>
    <row r="6" spans="1:53" x14ac:dyDescent="0.3">
      <c r="AZ6" t="s">
        <v>50</v>
      </c>
      <c r="BA6">
        <v>7.0200779999999963E-2</v>
      </c>
    </row>
    <row r="7" spans="1:53" x14ac:dyDescent="0.3">
      <c r="AZ7" t="s">
        <v>70</v>
      </c>
      <c r="BA7">
        <v>8.8503148800000001E-2</v>
      </c>
    </row>
    <row r="8" spans="1:53" x14ac:dyDescent="0.3">
      <c r="AZ8" t="s">
        <v>57</v>
      </c>
      <c r="BA8">
        <v>7.4872511999999961E-3</v>
      </c>
    </row>
    <row r="9" spans="1:53" x14ac:dyDescent="0.3">
      <c r="AZ9" t="s">
        <v>402</v>
      </c>
      <c r="BA9">
        <v>3.9996000000000007E-3</v>
      </c>
    </row>
    <row r="11" spans="1:53" x14ac:dyDescent="0.3">
      <c r="AZ11" t="s">
        <v>71</v>
      </c>
      <c r="BA11">
        <v>0.57029302491875999</v>
      </c>
    </row>
    <row r="12" spans="1:53" x14ac:dyDescent="0.3">
      <c r="AZ12" t="s">
        <v>72</v>
      </c>
      <c r="BA12">
        <v>7.0485654765240005E-2</v>
      </c>
    </row>
    <row r="13" spans="1:53" x14ac:dyDescent="0.3">
      <c r="AZ13" t="s">
        <v>66</v>
      </c>
      <c r="BA13">
        <v>0.189030540316</v>
      </c>
    </row>
    <row r="14" spans="1:53" x14ac:dyDescent="0.3">
      <c r="AZ14" t="s">
        <v>73</v>
      </c>
      <c r="BA14">
        <v>4.824604766123998E-2</v>
      </c>
    </row>
    <row r="15" spans="1:53" x14ac:dyDescent="0.3">
      <c r="AZ15" t="s">
        <v>74</v>
      </c>
      <c r="BA15">
        <v>5.9629946547599972E-3</v>
      </c>
    </row>
    <row r="16" spans="1:53" x14ac:dyDescent="0.3">
      <c r="AZ16" t="s">
        <v>50</v>
      </c>
      <c r="BA16">
        <v>1.5991737683999991E-2</v>
      </c>
    </row>
    <row r="17" spans="1:53" x14ac:dyDescent="0.3">
      <c r="AZ17" t="s">
        <v>75</v>
      </c>
      <c r="BA17">
        <v>6.0824497037990401E-2</v>
      </c>
    </row>
    <row r="18" spans="1:53" x14ac:dyDescent="0.3">
      <c r="AZ18" t="s">
        <v>76</v>
      </c>
      <c r="BA18">
        <v>7.5176344653696001E-3</v>
      </c>
    </row>
    <row r="19" spans="1:53" x14ac:dyDescent="0.3">
      <c r="AZ19" t="s">
        <v>70</v>
      </c>
      <c r="BA19">
        <v>2.0161017296640001E-2</v>
      </c>
    </row>
    <row r="20" spans="1:53" x14ac:dyDescent="0.3">
      <c r="AZ20" t="s">
        <v>77</v>
      </c>
      <c r="BA20">
        <v>5.1456732852095972E-3</v>
      </c>
    </row>
    <row r="21" spans="1:53" x14ac:dyDescent="0.3">
      <c r="AZ21" t="s">
        <v>78</v>
      </c>
      <c r="BA21">
        <v>6.3598209143039971E-4</v>
      </c>
    </row>
    <row r="22" spans="1:53" x14ac:dyDescent="0.3">
      <c r="A22" t="s">
        <v>79</v>
      </c>
      <c r="B22" t="s">
        <v>80</v>
      </c>
      <c r="C22" t="s">
        <v>81</v>
      </c>
      <c r="D22" t="s">
        <v>82</v>
      </c>
      <c r="E22" t="s">
        <v>83</v>
      </c>
      <c r="F22" t="s">
        <v>84</v>
      </c>
      <c r="G22" t="s">
        <v>85</v>
      </c>
      <c r="H22" t="s">
        <v>67</v>
      </c>
      <c r="I22" t="s">
        <v>86</v>
      </c>
      <c r="J22" t="s">
        <v>87</v>
      </c>
      <c r="K22" t="s">
        <v>88</v>
      </c>
      <c r="L22" t="s">
        <v>89</v>
      </c>
      <c r="M22" t="s">
        <v>90</v>
      </c>
      <c r="N22" t="s">
        <v>91</v>
      </c>
      <c r="O22" t="s">
        <v>92</v>
      </c>
      <c r="P22" t="s">
        <v>93</v>
      </c>
      <c r="Q22" t="s">
        <v>94</v>
      </c>
      <c r="AZ22" t="s">
        <v>57</v>
      </c>
      <c r="BA22">
        <v>1.7055958233599992E-3</v>
      </c>
    </row>
    <row r="23" spans="1:53" x14ac:dyDescent="0.3">
      <c r="A23" s="1" t="s">
        <v>58</v>
      </c>
      <c r="B23" s="1" t="s">
        <v>95</v>
      </c>
      <c r="C23" s="1">
        <v>15</v>
      </c>
      <c r="D23" s="1">
        <v>35</v>
      </c>
      <c r="E23" s="1">
        <v>35</v>
      </c>
      <c r="F23" s="1">
        <v>14</v>
      </c>
      <c r="G23" s="1">
        <v>25</v>
      </c>
      <c r="H23" s="1">
        <v>25</v>
      </c>
      <c r="I23" s="1">
        <v>15</v>
      </c>
      <c r="J23" s="1">
        <v>12</v>
      </c>
      <c r="K23" s="1">
        <v>9</v>
      </c>
      <c r="L23" s="1">
        <v>8</v>
      </c>
      <c r="M23" s="1" t="s">
        <v>96</v>
      </c>
      <c r="N23" s="1"/>
      <c r="O23" s="1"/>
      <c r="P23" s="1" t="b">
        <v>1</v>
      </c>
      <c r="Q23" s="1"/>
      <c r="AZ23" t="s">
        <v>403</v>
      </c>
      <c r="BA23">
        <v>2.7487570968000009E-3</v>
      </c>
    </row>
    <row r="24" spans="1:53" x14ac:dyDescent="0.3">
      <c r="A24" s="1" t="s">
        <v>54</v>
      </c>
      <c r="B24" s="1" t="s">
        <v>97</v>
      </c>
      <c r="C24" s="1">
        <v>1</v>
      </c>
      <c r="D24" s="1">
        <v>45</v>
      </c>
      <c r="E24" s="1">
        <v>45</v>
      </c>
      <c r="F24" s="1">
        <v>17</v>
      </c>
      <c r="G24" s="1">
        <v>18</v>
      </c>
      <c r="H24" s="1">
        <v>9</v>
      </c>
      <c r="I24" s="1">
        <v>7</v>
      </c>
      <c r="J24" s="1">
        <v>25</v>
      </c>
      <c r="K24" s="1">
        <v>15</v>
      </c>
      <c r="L24" s="1">
        <v>17</v>
      </c>
      <c r="M24" s="1" t="s">
        <v>98</v>
      </c>
      <c r="N24" s="1"/>
      <c r="O24" s="1"/>
      <c r="P24" s="1"/>
      <c r="Q24" s="1"/>
      <c r="AZ24" t="s">
        <v>404</v>
      </c>
      <c r="BA24">
        <v>3.3973402320000009E-4</v>
      </c>
    </row>
    <row r="25" spans="1:53" x14ac:dyDescent="0.3">
      <c r="A25" s="1" t="s">
        <v>51</v>
      </c>
      <c r="B25" s="1" t="s">
        <v>99</v>
      </c>
      <c r="C25" s="1">
        <v>10</v>
      </c>
      <c r="D25" s="1">
        <v>30</v>
      </c>
      <c r="E25" s="1">
        <v>30</v>
      </c>
      <c r="F25" s="1">
        <v>12</v>
      </c>
      <c r="G25" s="1">
        <v>22</v>
      </c>
      <c r="H25" s="1">
        <v>25</v>
      </c>
      <c r="I25" s="1">
        <v>20</v>
      </c>
      <c r="J25" s="1">
        <v>14</v>
      </c>
      <c r="K25" s="1">
        <v>10</v>
      </c>
      <c r="L25" s="1">
        <v>1</v>
      </c>
      <c r="M25" s="1"/>
      <c r="N25" s="1"/>
      <c r="O25" s="1"/>
      <c r="P25" s="1" t="b">
        <v>1</v>
      </c>
      <c r="Q25" s="1"/>
      <c r="AZ25" t="s">
        <v>402</v>
      </c>
      <c r="BA25">
        <v>9.1110888000000016E-4</v>
      </c>
    </row>
    <row r="26" spans="1:53" x14ac:dyDescent="0.3">
      <c r="A26" s="1" t="s">
        <v>61</v>
      </c>
      <c r="B26" s="1" t="s">
        <v>101</v>
      </c>
      <c r="C26" s="1">
        <v>6</v>
      </c>
      <c r="D26" s="1">
        <v>40</v>
      </c>
      <c r="E26" s="1">
        <v>30</v>
      </c>
      <c r="F26" s="1">
        <v>15</v>
      </c>
      <c r="G26" s="1">
        <v>20</v>
      </c>
      <c r="H26" s="1">
        <v>20</v>
      </c>
      <c r="I26" s="1">
        <v>6</v>
      </c>
      <c r="J26" s="1">
        <v>15</v>
      </c>
      <c r="K26" s="1">
        <v>8</v>
      </c>
      <c r="L26" s="1">
        <v>10</v>
      </c>
      <c r="M26" s="1" t="s">
        <v>102</v>
      </c>
      <c r="N26" s="1"/>
      <c r="O26" s="1"/>
      <c r="P26" s="1"/>
      <c r="Q26" s="1"/>
    </row>
    <row r="27" spans="1:53" x14ac:dyDescent="0.3">
      <c r="AZ27" t="s">
        <v>100</v>
      </c>
      <c r="BA27">
        <v>0.39193844371961717</v>
      </c>
    </row>
    <row r="28" spans="1:53" x14ac:dyDescent="0.3">
      <c r="AZ28" t="s">
        <v>103</v>
      </c>
      <c r="BA28">
        <v>0.10287085273236764</v>
      </c>
    </row>
    <row r="29" spans="1:53" x14ac:dyDescent="0.3">
      <c r="AZ29" t="s">
        <v>71</v>
      </c>
      <c r="BA29">
        <v>0.25982550215298705</v>
      </c>
    </row>
    <row r="30" spans="1:53" x14ac:dyDescent="0.3">
      <c r="AZ30" t="s">
        <v>72</v>
      </c>
      <c r="BA30">
        <v>3.2113264311043346E-2</v>
      </c>
    </row>
    <row r="31" spans="1:53" x14ac:dyDescent="0.3">
      <c r="AZ31" t="s">
        <v>66</v>
      </c>
      <c r="BA31">
        <v>4.3061157083984801E-2</v>
      </c>
    </row>
    <row r="32" spans="1:53" x14ac:dyDescent="0.3">
      <c r="AZ32" t="s">
        <v>104</v>
      </c>
      <c r="BA32">
        <v>3.3157482223568464E-2</v>
      </c>
    </row>
    <row r="33" spans="52:53" x14ac:dyDescent="0.3">
      <c r="AZ33" t="s">
        <v>105</v>
      </c>
      <c r="BA33">
        <v>8.7027402528467163E-3</v>
      </c>
    </row>
    <row r="34" spans="52:53" x14ac:dyDescent="0.3">
      <c r="AZ34" t="s">
        <v>73</v>
      </c>
      <c r="BA34">
        <v>2.1980899314460935E-2</v>
      </c>
    </row>
    <row r="35" spans="52:53" x14ac:dyDescent="0.3">
      <c r="AZ35" t="s">
        <v>74</v>
      </c>
      <c r="BA35">
        <v>2.7167403647086544E-3</v>
      </c>
    </row>
    <row r="36" spans="52:53" x14ac:dyDescent="0.3">
      <c r="AZ36" t="s">
        <v>50</v>
      </c>
      <c r="BA36">
        <v>3.6429178444151978E-3</v>
      </c>
    </row>
    <row r="37" spans="52:53" x14ac:dyDescent="0.3">
      <c r="AZ37" t="s">
        <v>106</v>
      </c>
      <c r="BA37">
        <v>4.180212218533521E-2</v>
      </c>
    </row>
    <row r="38" spans="52:53" x14ac:dyDescent="0.3">
      <c r="AZ38" t="s">
        <v>107</v>
      </c>
      <c r="BA38">
        <v>1.0971671761559387E-2</v>
      </c>
    </row>
    <row r="39" spans="52:53" x14ac:dyDescent="0.3">
      <c r="AZ39" t="s">
        <v>75</v>
      </c>
      <c r="BA39">
        <v>2.7711640850508427E-2</v>
      </c>
    </row>
    <row r="40" spans="52:53" x14ac:dyDescent="0.3">
      <c r="AZ40" t="s">
        <v>76</v>
      </c>
      <c r="BA40">
        <v>3.4250342624223898E-3</v>
      </c>
    </row>
    <row r="41" spans="52:53" x14ac:dyDescent="0.3">
      <c r="AZ41" t="s">
        <v>70</v>
      </c>
      <c r="BA41">
        <v>4.5926797401745923E-3</v>
      </c>
    </row>
    <row r="42" spans="52:53" x14ac:dyDescent="0.3">
      <c r="AZ42" t="s">
        <v>108</v>
      </c>
      <c r="BA42">
        <v>3.5364051306465776E-3</v>
      </c>
    </row>
    <row r="43" spans="52:53" x14ac:dyDescent="0.3">
      <c r="AZ43" t="s">
        <v>109</v>
      </c>
      <c r="BA43">
        <v>9.281891511948283E-4</v>
      </c>
    </row>
    <row r="44" spans="52:53" x14ac:dyDescent="0.3">
      <c r="AZ44" t="s">
        <v>77</v>
      </c>
      <c r="BA44">
        <v>2.3443687487414927E-3</v>
      </c>
    </row>
    <row r="45" spans="52:53" x14ac:dyDescent="0.3">
      <c r="AZ45" t="s">
        <v>78</v>
      </c>
      <c r="BA45">
        <v>2.8975344085569013E-4</v>
      </c>
    </row>
    <row r="46" spans="52:53" x14ac:dyDescent="0.3">
      <c r="AZ46" t="s">
        <v>57</v>
      </c>
      <c r="BA46">
        <v>3.8853472856140782E-4</v>
      </c>
    </row>
    <row r="47" spans="52:53" x14ac:dyDescent="0.3">
      <c r="AZ47" t="s">
        <v>405</v>
      </c>
      <c r="BA47">
        <v>1.8891053048325751E-3</v>
      </c>
    </row>
    <row r="48" spans="52:53" x14ac:dyDescent="0.3">
      <c r="AZ48" t="s">
        <v>406</v>
      </c>
      <c r="BA48">
        <v>4.9582753803142574E-4</v>
      </c>
    </row>
    <row r="49" spans="1:53" x14ac:dyDescent="0.3">
      <c r="AZ49" t="s">
        <v>403</v>
      </c>
      <c r="BA49">
        <v>1.2523337333020803E-3</v>
      </c>
    </row>
    <row r="50" spans="1:53" x14ac:dyDescent="0.3">
      <c r="AZ50" t="s">
        <v>404</v>
      </c>
      <c r="BA50">
        <v>1.5478282096992004E-4</v>
      </c>
    </row>
    <row r="51" spans="1:53" x14ac:dyDescent="0.3">
      <c r="A51" t="s">
        <v>80</v>
      </c>
      <c r="B51" t="s">
        <v>110</v>
      </c>
      <c r="C51" t="s">
        <v>111</v>
      </c>
      <c r="D51" t="s">
        <v>112</v>
      </c>
      <c r="E51" t="s">
        <v>113</v>
      </c>
      <c r="F51" t="s">
        <v>114</v>
      </c>
      <c r="G51" t="s">
        <v>115</v>
      </c>
      <c r="H51" t="s">
        <v>116</v>
      </c>
      <c r="I51" t="s">
        <v>117</v>
      </c>
      <c r="J51" t="s">
        <v>118</v>
      </c>
      <c r="L51" t="s">
        <v>119</v>
      </c>
      <c r="M51" t="s">
        <v>120</v>
      </c>
      <c r="N51" t="s">
        <v>121</v>
      </c>
      <c r="O51" t="s">
        <v>122</v>
      </c>
      <c r="P51" t="s">
        <v>123</v>
      </c>
      <c r="Q51" t="s">
        <v>68</v>
      </c>
      <c r="R51" t="s">
        <v>69</v>
      </c>
      <c r="S51" t="s">
        <v>84</v>
      </c>
      <c r="T51" t="s">
        <v>85</v>
      </c>
      <c r="U51" t="s">
        <v>67</v>
      </c>
      <c r="V51" t="s">
        <v>86</v>
      </c>
      <c r="W51" t="s">
        <v>87</v>
      </c>
      <c r="X51" t="s">
        <v>88</v>
      </c>
      <c r="Y51" t="s">
        <v>124</v>
      </c>
      <c r="Z51" t="s">
        <v>125</v>
      </c>
      <c r="AA51" t="s">
        <v>126</v>
      </c>
      <c r="AB51" t="s">
        <v>127</v>
      </c>
      <c r="AC51" t="s">
        <v>128</v>
      </c>
      <c r="AD51" t="s">
        <v>129</v>
      </c>
      <c r="AE51" t="s">
        <v>130</v>
      </c>
      <c r="AF51" t="s">
        <v>131</v>
      </c>
      <c r="AG51" t="s">
        <v>132</v>
      </c>
      <c r="AH51" t="s">
        <v>133</v>
      </c>
      <c r="AI51" t="s">
        <v>134</v>
      </c>
      <c r="AJ51" t="s">
        <v>135</v>
      </c>
      <c r="AK51" t="s">
        <v>136</v>
      </c>
      <c r="AL51" t="s">
        <v>137</v>
      </c>
      <c r="AM51" t="s">
        <v>138</v>
      </c>
      <c r="AN51" t="s">
        <v>139</v>
      </c>
      <c r="AO51" t="s">
        <v>140</v>
      </c>
      <c r="AZ51" t="s">
        <v>402</v>
      </c>
      <c r="BA51">
        <v>2.0755060286400004E-4</v>
      </c>
    </row>
    <row r="52" spans="1:53" x14ac:dyDescent="0.3">
      <c r="A52" t="s">
        <v>141</v>
      </c>
      <c r="F52">
        <v>50</v>
      </c>
      <c r="H52" t="s">
        <v>96</v>
      </c>
      <c r="L52" t="s">
        <v>142</v>
      </c>
      <c r="M52" t="s">
        <v>96</v>
      </c>
      <c r="N52" t="s">
        <v>96</v>
      </c>
      <c r="O52">
        <v>5</v>
      </c>
      <c r="P52">
        <v>5</v>
      </c>
      <c r="Q52">
        <v>90</v>
      </c>
      <c r="AG52">
        <v>1</v>
      </c>
      <c r="AH52">
        <v>1</v>
      </c>
      <c r="AI52" t="s">
        <v>143</v>
      </c>
    </row>
    <row r="53" spans="1:53" x14ac:dyDescent="0.3">
      <c r="A53" t="s">
        <v>144</v>
      </c>
      <c r="F53">
        <v>50</v>
      </c>
      <c r="H53" t="s">
        <v>98</v>
      </c>
      <c r="L53" t="s">
        <v>145</v>
      </c>
      <c r="M53" t="s">
        <v>96</v>
      </c>
      <c r="N53" t="s">
        <v>96</v>
      </c>
      <c r="O53">
        <v>2</v>
      </c>
      <c r="P53">
        <v>3</v>
      </c>
      <c r="Q53">
        <v>100</v>
      </c>
      <c r="R53">
        <v>5</v>
      </c>
      <c r="AG53">
        <v>1</v>
      </c>
      <c r="AH53">
        <v>1</v>
      </c>
      <c r="AI53" t="s">
        <v>143</v>
      </c>
      <c r="AZ53" t="s">
        <v>64</v>
      </c>
      <c r="BA53">
        <v>0.87603071856400005</v>
      </c>
    </row>
    <row r="54" spans="1:53" x14ac:dyDescent="0.3">
      <c r="A54" t="s">
        <v>146</v>
      </c>
      <c r="B54" t="s">
        <v>147</v>
      </c>
      <c r="F54">
        <v>50</v>
      </c>
      <c r="H54" t="s">
        <v>96</v>
      </c>
      <c r="L54" t="s">
        <v>148</v>
      </c>
      <c r="M54" t="s">
        <v>96</v>
      </c>
      <c r="N54" t="s">
        <v>96</v>
      </c>
      <c r="O54">
        <v>10</v>
      </c>
      <c r="P54">
        <v>8</v>
      </c>
      <c r="Q54">
        <v>75</v>
      </c>
      <c r="AG54">
        <v>1</v>
      </c>
      <c r="AH54">
        <v>1</v>
      </c>
      <c r="AI54" t="s">
        <v>149</v>
      </c>
      <c r="AZ54" t="s">
        <v>103</v>
      </c>
      <c r="BA54">
        <v>0.10287085273236764</v>
      </c>
    </row>
    <row r="55" spans="1:53" x14ac:dyDescent="0.3">
      <c r="A55" t="s">
        <v>150</v>
      </c>
      <c r="B55" t="s">
        <v>147</v>
      </c>
      <c r="F55">
        <v>50</v>
      </c>
      <c r="H55" t="s">
        <v>98</v>
      </c>
      <c r="L55" t="s">
        <v>59</v>
      </c>
      <c r="M55" t="s">
        <v>96</v>
      </c>
      <c r="N55" t="s">
        <v>96</v>
      </c>
      <c r="O55">
        <v>8</v>
      </c>
      <c r="P55">
        <v>13</v>
      </c>
      <c r="Q55">
        <v>80</v>
      </c>
      <c r="AG55">
        <v>1</v>
      </c>
      <c r="AH55">
        <v>1</v>
      </c>
      <c r="AI55" t="s">
        <v>151</v>
      </c>
      <c r="AZ55" t="s">
        <v>105</v>
      </c>
      <c r="BA55">
        <v>8.7027402528467163E-3</v>
      </c>
    </row>
    <row r="56" spans="1:53" x14ac:dyDescent="0.3">
      <c r="A56" t="s">
        <v>152</v>
      </c>
      <c r="F56">
        <v>50</v>
      </c>
      <c r="L56" t="s">
        <v>153</v>
      </c>
      <c r="M56" t="s">
        <v>96</v>
      </c>
      <c r="N56" t="s">
        <v>96</v>
      </c>
      <c r="O56">
        <v>12</v>
      </c>
      <c r="P56">
        <v>9</v>
      </c>
      <c r="Q56">
        <v>70</v>
      </c>
      <c r="AG56">
        <v>1</v>
      </c>
      <c r="AH56">
        <v>1</v>
      </c>
      <c r="AI56" t="s">
        <v>149</v>
      </c>
      <c r="AZ56" t="s">
        <v>107</v>
      </c>
      <c r="BA56">
        <v>1.0971671761559387E-2</v>
      </c>
    </row>
    <row r="57" spans="1:53" x14ac:dyDescent="0.3">
      <c r="A57" t="s">
        <v>154</v>
      </c>
      <c r="F57">
        <v>50</v>
      </c>
      <c r="H57" t="s">
        <v>98</v>
      </c>
      <c r="L57" t="s">
        <v>155</v>
      </c>
      <c r="M57" t="s">
        <v>96</v>
      </c>
      <c r="N57" t="s">
        <v>96</v>
      </c>
      <c r="O57">
        <v>14</v>
      </c>
      <c r="P57">
        <v>11</v>
      </c>
      <c r="Q57">
        <v>65</v>
      </c>
      <c r="AG57">
        <v>1</v>
      </c>
      <c r="AH57">
        <v>1</v>
      </c>
      <c r="AI57" t="s">
        <v>156</v>
      </c>
      <c r="AZ57" t="s">
        <v>109</v>
      </c>
      <c r="BA57">
        <v>9.281891511948283E-4</v>
      </c>
    </row>
    <row r="58" spans="1:53" x14ac:dyDescent="0.3">
      <c r="A58" t="s">
        <v>157</v>
      </c>
      <c r="B58" t="s">
        <v>147</v>
      </c>
      <c r="F58">
        <v>50</v>
      </c>
      <c r="H58" t="s">
        <v>96</v>
      </c>
      <c r="I58" t="s">
        <v>98</v>
      </c>
      <c r="L58" t="s">
        <v>158</v>
      </c>
      <c r="M58" t="s">
        <v>96</v>
      </c>
      <c r="N58" t="s">
        <v>96</v>
      </c>
      <c r="O58">
        <v>13</v>
      </c>
      <c r="P58">
        <v>14</v>
      </c>
      <c r="Q58">
        <v>60</v>
      </c>
      <c r="AG58">
        <v>1</v>
      </c>
      <c r="AH58">
        <v>1</v>
      </c>
      <c r="AI58" t="s">
        <v>151</v>
      </c>
      <c r="AZ58" t="s">
        <v>406</v>
      </c>
      <c r="BA58">
        <v>4.9582753803142574E-4</v>
      </c>
    </row>
    <row r="59" spans="1:53" x14ac:dyDescent="0.3">
      <c r="A59" t="s">
        <v>97</v>
      </c>
      <c r="B59" t="s">
        <v>147</v>
      </c>
      <c r="F59">
        <v>50</v>
      </c>
      <c r="H59" t="s">
        <v>96</v>
      </c>
      <c r="I59" t="s">
        <v>98</v>
      </c>
      <c r="L59" t="s">
        <v>159</v>
      </c>
      <c r="M59" t="s">
        <v>96</v>
      </c>
      <c r="N59" t="s">
        <v>96</v>
      </c>
      <c r="O59">
        <v>6</v>
      </c>
      <c r="P59">
        <v>3</v>
      </c>
      <c r="Q59">
        <v>70</v>
      </c>
      <c r="AG59">
        <v>1</v>
      </c>
      <c r="AH59">
        <v>1</v>
      </c>
      <c r="AI59" t="s">
        <v>149</v>
      </c>
    </row>
    <row r="60" spans="1:53" x14ac:dyDescent="0.3">
      <c r="A60" t="s">
        <v>160</v>
      </c>
      <c r="B60" t="s">
        <v>147</v>
      </c>
      <c r="C60" t="s">
        <v>161</v>
      </c>
      <c r="F60">
        <v>50</v>
      </c>
      <c r="H60" t="s">
        <v>96</v>
      </c>
      <c r="I60" t="s">
        <v>98</v>
      </c>
      <c r="J60" t="s">
        <v>162</v>
      </c>
      <c r="L60" t="s">
        <v>163</v>
      </c>
      <c r="M60" t="s">
        <v>96</v>
      </c>
      <c r="N60" t="s">
        <v>96</v>
      </c>
      <c r="O60">
        <v>5</v>
      </c>
      <c r="P60">
        <v>7</v>
      </c>
      <c r="Q60">
        <v>95</v>
      </c>
      <c r="R60">
        <v>10</v>
      </c>
      <c r="Y60" t="s">
        <v>147</v>
      </c>
      <c r="Z60" t="s">
        <v>161</v>
      </c>
      <c r="AA60">
        <v>3</v>
      </c>
      <c r="AG60">
        <v>1</v>
      </c>
      <c r="AH60">
        <v>1</v>
      </c>
      <c r="AI60" t="s">
        <v>136</v>
      </c>
      <c r="AK60" t="s">
        <v>164</v>
      </c>
      <c r="AZ60" t="s">
        <v>64</v>
      </c>
      <c r="BA60">
        <v>0.87603071856400005</v>
      </c>
    </row>
    <row r="61" spans="1:53" x14ac:dyDescent="0.3">
      <c r="A61" t="s">
        <v>165</v>
      </c>
      <c r="B61" t="s">
        <v>161</v>
      </c>
      <c r="F61">
        <v>50</v>
      </c>
      <c r="H61" t="s">
        <v>98</v>
      </c>
      <c r="L61" t="s">
        <v>166</v>
      </c>
      <c r="M61" t="s">
        <v>96</v>
      </c>
      <c r="N61" t="s">
        <v>96</v>
      </c>
      <c r="O61">
        <v>12</v>
      </c>
      <c r="P61">
        <v>9</v>
      </c>
      <c r="Q61">
        <v>75</v>
      </c>
      <c r="AC61" t="b">
        <v>1</v>
      </c>
      <c r="AG61">
        <v>1</v>
      </c>
      <c r="AH61">
        <v>1</v>
      </c>
      <c r="AI61" t="s">
        <v>167</v>
      </c>
      <c r="AZ61" t="s">
        <v>103</v>
      </c>
      <c r="BA61">
        <v>0.10287085273236764</v>
      </c>
    </row>
    <row r="62" spans="1:53" x14ac:dyDescent="0.3">
      <c r="A62" t="s">
        <v>168</v>
      </c>
      <c r="B62" t="s">
        <v>161</v>
      </c>
      <c r="F62">
        <v>50</v>
      </c>
      <c r="G62" t="s">
        <v>169</v>
      </c>
      <c r="H62" t="s">
        <v>96</v>
      </c>
      <c r="I62" t="s">
        <v>98</v>
      </c>
      <c r="J62" t="s">
        <v>162</v>
      </c>
      <c r="L62" t="s">
        <v>170</v>
      </c>
      <c r="M62" t="s">
        <v>96</v>
      </c>
      <c r="N62" t="s">
        <v>96</v>
      </c>
      <c r="O62">
        <v>5</v>
      </c>
      <c r="P62">
        <v>8</v>
      </c>
      <c r="Q62">
        <v>75</v>
      </c>
      <c r="R62">
        <v>35</v>
      </c>
      <c r="AG62">
        <v>1</v>
      </c>
      <c r="AH62">
        <v>1</v>
      </c>
      <c r="AI62" t="s">
        <v>149</v>
      </c>
      <c r="AZ62" t="s">
        <v>105</v>
      </c>
      <c r="BA62">
        <v>8.7027402528467163E-3</v>
      </c>
    </row>
    <row r="63" spans="1:53" x14ac:dyDescent="0.3">
      <c r="A63" t="s">
        <v>171</v>
      </c>
      <c r="B63" t="s">
        <v>96</v>
      </c>
      <c r="F63">
        <v>50</v>
      </c>
      <c r="H63" t="s">
        <v>96</v>
      </c>
      <c r="L63" t="s">
        <v>172</v>
      </c>
      <c r="M63" t="s">
        <v>96</v>
      </c>
      <c r="N63" t="s">
        <v>96</v>
      </c>
      <c r="O63">
        <v>7</v>
      </c>
      <c r="P63">
        <v>9</v>
      </c>
      <c r="Q63">
        <v>75</v>
      </c>
      <c r="R63">
        <v>30</v>
      </c>
      <c r="AG63">
        <v>1</v>
      </c>
      <c r="AH63">
        <v>1</v>
      </c>
      <c r="AI63" t="s">
        <v>156</v>
      </c>
      <c r="AZ63" t="s">
        <v>107</v>
      </c>
      <c r="BA63">
        <v>1.0971671761559387E-2</v>
      </c>
    </row>
    <row r="64" spans="1:53" x14ac:dyDescent="0.3">
      <c r="A64" t="s">
        <v>173</v>
      </c>
      <c r="B64" t="s">
        <v>96</v>
      </c>
      <c r="F64">
        <v>50</v>
      </c>
      <c r="H64" t="s">
        <v>96</v>
      </c>
      <c r="I64" t="s">
        <v>162</v>
      </c>
      <c r="L64" t="s">
        <v>174</v>
      </c>
      <c r="M64" t="s">
        <v>96</v>
      </c>
      <c r="N64" t="s">
        <v>96</v>
      </c>
      <c r="O64">
        <v>11</v>
      </c>
      <c r="P64">
        <v>8</v>
      </c>
      <c r="Q64">
        <v>80</v>
      </c>
      <c r="Y64" t="s">
        <v>161</v>
      </c>
      <c r="AA64">
        <v>3</v>
      </c>
      <c r="AG64">
        <v>1</v>
      </c>
      <c r="AH64">
        <v>1</v>
      </c>
      <c r="AI64" t="s">
        <v>149</v>
      </c>
      <c r="AZ64" t="s">
        <v>109</v>
      </c>
      <c r="BA64">
        <v>9.281891511948283E-4</v>
      </c>
    </row>
    <row r="65" spans="1:53" x14ac:dyDescent="0.3">
      <c r="A65" t="s">
        <v>175</v>
      </c>
      <c r="B65" t="s">
        <v>96</v>
      </c>
      <c r="F65">
        <v>50</v>
      </c>
      <c r="H65" t="s">
        <v>96</v>
      </c>
      <c r="L65" t="s">
        <v>176</v>
      </c>
      <c r="M65" t="s">
        <v>96</v>
      </c>
      <c r="N65" t="s">
        <v>96</v>
      </c>
      <c r="O65">
        <v>5</v>
      </c>
      <c r="P65">
        <v>8</v>
      </c>
      <c r="Q65">
        <v>75</v>
      </c>
      <c r="Y65" t="s">
        <v>177</v>
      </c>
      <c r="AA65">
        <v>3</v>
      </c>
      <c r="AG65">
        <v>1</v>
      </c>
      <c r="AH65">
        <v>1</v>
      </c>
      <c r="AI65" t="s">
        <v>156</v>
      </c>
      <c r="AZ65" t="s">
        <v>406</v>
      </c>
      <c r="BA65">
        <v>4.9582753803142574E-4</v>
      </c>
    </row>
    <row r="66" spans="1:53" x14ac:dyDescent="0.3">
      <c r="A66" t="s">
        <v>95</v>
      </c>
      <c r="B66" t="s">
        <v>96</v>
      </c>
      <c r="E66">
        <v>15</v>
      </c>
      <c r="F66">
        <v>50</v>
      </c>
      <c r="H66" t="s">
        <v>96</v>
      </c>
      <c r="L66" t="s">
        <v>178</v>
      </c>
      <c r="M66" t="s">
        <v>96</v>
      </c>
      <c r="N66" t="s">
        <v>96</v>
      </c>
      <c r="O66">
        <v>9</v>
      </c>
      <c r="P66">
        <v>9</v>
      </c>
      <c r="Q66">
        <v>75</v>
      </c>
      <c r="R66">
        <v>5</v>
      </c>
      <c r="AB66" t="b">
        <v>1</v>
      </c>
      <c r="AG66">
        <v>1</v>
      </c>
      <c r="AH66">
        <v>1</v>
      </c>
      <c r="AI66" t="s">
        <v>156</v>
      </c>
    </row>
    <row r="67" spans="1:53" x14ac:dyDescent="0.3">
      <c r="A67" t="s">
        <v>179</v>
      </c>
      <c r="F67">
        <v>50</v>
      </c>
      <c r="G67" t="s">
        <v>180</v>
      </c>
      <c r="H67" t="s">
        <v>96</v>
      </c>
      <c r="L67" t="s">
        <v>181</v>
      </c>
      <c r="M67" t="s">
        <v>96</v>
      </c>
      <c r="N67" t="s">
        <v>96</v>
      </c>
      <c r="O67">
        <v>11</v>
      </c>
      <c r="P67">
        <v>6</v>
      </c>
      <c r="Q67">
        <v>85</v>
      </c>
      <c r="Y67" t="s">
        <v>147</v>
      </c>
      <c r="AA67">
        <v>3</v>
      </c>
      <c r="AG67">
        <v>1</v>
      </c>
      <c r="AH67">
        <v>1</v>
      </c>
      <c r="AI67" t="s">
        <v>149</v>
      </c>
    </row>
    <row r="68" spans="1:53" x14ac:dyDescent="0.3">
      <c r="A68" t="s">
        <v>182</v>
      </c>
      <c r="F68">
        <v>50</v>
      </c>
      <c r="H68" t="s">
        <v>96</v>
      </c>
      <c r="L68" t="s">
        <v>183</v>
      </c>
      <c r="M68" t="s">
        <v>96</v>
      </c>
      <c r="N68" t="s">
        <v>96</v>
      </c>
      <c r="O68">
        <v>9</v>
      </c>
      <c r="P68">
        <v>16</v>
      </c>
      <c r="Q68">
        <v>90</v>
      </c>
      <c r="S68">
        <v>5</v>
      </c>
      <c r="Y68" t="s">
        <v>184</v>
      </c>
      <c r="AA68">
        <v>2</v>
      </c>
      <c r="AG68">
        <v>1</v>
      </c>
      <c r="AH68">
        <v>1</v>
      </c>
      <c r="AI68" t="s">
        <v>136</v>
      </c>
      <c r="AK68" t="s">
        <v>164</v>
      </c>
    </row>
    <row r="69" spans="1:53" x14ac:dyDescent="0.3">
      <c r="A69" t="s">
        <v>185</v>
      </c>
      <c r="F69">
        <v>50</v>
      </c>
      <c r="H69" t="s">
        <v>96</v>
      </c>
      <c r="L69" t="s">
        <v>186</v>
      </c>
      <c r="M69" t="s">
        <v>96</v>
      </c>
      <c r="N69" t="s">
        <v>96</v>
      </c>
      <c r="O69">
        <v>9</v>
      </c>
      <c r="P69">
        <v>18</v>
      </c>
      <c r="Q69">
        <v>85</v>
      </c>
      <c r="X69">
        <v>5</v>
      </c>
      <c r="Y69" t="s">
        <v>184</v>
      </c>
      <c r="AA69">
        <v>2</v>
      </c>
      <c r="AG69">
        <v>1</v>
      </c>
      <c r="AH69">
        <v>1</v>
      </c>
      <c r="AI69" t="s">
        <v>187</v>
      </c>
    </row>
    <row r="70" spans="1:53" x14ac:dyDescent="0.3">
      <c r="A70" t="s">
        <v>188</v>
      </c>
      <c r="F70">
        <v>50</v>
      </c>
      <c r="H70" t="s">
        <v>102</v>
      </c>
      <c r="I70" t="s">
        <v>189</v>
      </c>
      <c r="L70" t="s">
        <v>190</v>
      </c>
      <c r="M70" t="s">
        <v>96</v>
      </c>
      <c r="N70" t="s">
        <v>96</v>
      </c>
      <c r="O70">
        <v>9</v>
      </c>
      <c r="P70">
        <v>9</v>
      </c>
      <c r="Q70">
        <v>70</v>
      </c>
      <c r="Y70" t="s">
        <v>191</v>
      </c>
      <c r="AA70">
        <v>3</v>
      </c>
      <c r="AG70">
        <v>1</v>
      </c>
      <c r="AH70">
        <v>1</v>
      </c>
      <c r="AI70" t="s">
        <v>167</v>
      </c>
      <c r="AJ70" t="b">
        <v>1</v>
      </c>
    </row>
    <row r="71" spans="1:53" x14ac:dyDescent="0.3">
      <c r="A71" t="s">
        <v>101</v>
      </c>
      <c r="F71">
        <v>50</v>
      </c>
      <c r="G71" t="s">
        <v>192</v>
      </c>
      <c r="H71" t="s">
        <v>102</v>
      </c>
      <c r="I71" t="s">
        <v>189</v>
      </c>
      <c r="L71" t="s">
        <v>193</v>
      </c>
      <c r="M71" t="s">
        <v>96</v>
      </c>
      <c r="N71" t="s">
        <v>194</v>
      </c>
      <c r="O71">
        <v>9</v>
      </c>
      <c r="P71">
        <v>9</v>
      </c>
      <c r="Q71">
        <v>70</v>
      </c>
      <c r="Y71" t="s">
        <v>191</v>
      </c>
      <c r="AA71">
        <v>3</v>
      </c>
      <c r="AF71" t="b">
        <v>1</v>
      </c>
      <c r="AG71">
        <v>2</v>
      </c>
      <c r="AH71">
        <v>2</v>
      </c>
      <c r="AI71" t="s">
        <v>167</v>
      </c>
      <c r="AJ71" t="b">
        <v>1</v>
      </c>
      <c r="AL71" t="b">
        <v>1</v>
      </c>
      <c r="AO71" t="s">
        <v>195</v>
      </c>
    </row>
    <row r="72" spans="1:53" x14ac:dyDescent="0.3">
      <c r="A72" t="s">
        <v>196</v>
      </c>
      <c r="B72" t="s">
        <v>147</v>
      </c>
      <c r="F72">
        <v>50</v>
      </c>
      <c r="H72" t="s">
        <v>96</v>
      </c>
      <c r="I72" t="s">
        <v>102</v>
      </c>
      <c r="L72" t="s">
        <v>197</v>
      </c>
      <c r="M72" t="s">
        <v>96</v>
      </c>
      <c r="N72" t="s">
        <v>96</v>
      </c>
      <c r="O72">
        <v>9</v>
      </c>
      <c r="P72">
        <v>9</v>
      </c>
      <c r="Q72">
        <v>70</v>
      </c>
      <c r="AG72">
        <v>1</v>
      </c>
      <c r="AH72">
        <v>1</v>
      </c>
      <c r="AI72" t="s">
        <v>156</v>
      </c>
      <c r="AJ72" t="b">
        <v>1</v>
      </c>
    </row>
    <row r="73" spans="1:53" x14ac:dyDescent="0.3">
      <c r="A73" t="s">
        <v>198</v>
      </c>
      <c r="B73" t="s">
        <v>177</v>
      </c>
      <c r="C73" t="s">
        <v>191</v>
      </c>
      <c r="F73">
        <v>50</v>
      </c>
      <c r="H73" t="s">
        <v>98</v>
      </c>
      <c r="L73" t="s">
        <v>199</v>
      </c>
      <c r="M73" t="s">
        <v>96</v>
      </c>
      <c r="N73" t="s">
        <v>200</v>
      </c>
      <c r="O73">
        <v>9</v>
      </c>
      <c r="P73">
        <v>9</v>
      </c>
      <c r="Q73">
        <v>70</v>
      </c>
      <c r="AF73" t="b">
        <v>1</v>
      </c>
      <c r="AG73">
        <v>2</v>
      </c>
      <c r="AH73">
        <v>2</v>
      </c>
      <c r="AI73" t="s">
        <v>156</v>
      </c>
      <c r="AJ73" t="b">
        <v>1</v>
      </c>
      <c r="AL73" t="b">
        <v>1</v>
      </c>
      <c r="AO73" t="s">
        <v>195</v>
      </c>
    </row>
    <row r="74" spans="1:53" x14ac:dyDescent="0.3">
      <c r="A74" t="s">
        <v>201</v>
      </c>
      <c r="B74" t="s">
        <v>177</v>
      </c>
      <c r="C74" t="s">
        <v>191</v>
      </c>
      <c r="F74">
        <v>50</v>
      </c>
      <c r="H74" t="s">
        <v>96</v>
      </c>
      <c r="I74" t="s">
        <v>98</v>
      </c>
      <c r="L74" t="s">
        <v>202</v>
      </c>
      <c r="M74" t="s">
        <v>96</v>
      </c>
      <c r="N74" t="s">
        <v>203</v>
      </c>
      <c r="O74">
        <v>11</v>
      </c>
      <c r="P74">
        <v>12</v>
      </c>
      <c r="Q74">
        <v>65</v>
      </c>
      <c r="AF74" t="b">
        <v>1</v>
      </c>
      <c r="AG74">
        <v>1</v>
      </c>
      <c r="AH74">
        <v>2</v>
      </c>
      <c r="AI74" t="s">
        <v>151</v>
      </c>
      <c r="AJ74" t="b">
        <v>1</v>
      </c>
      <c r="AL74" t="b">
        <v>1</v>
      </c>
      <c r="AM74" t="b">
        <v>1</v>
      </c>
      <c r="AO74" t="s">
        <v>195</v>
      </c>
    </row>
    <row r="75" spans="1:53" x14ac:dyDescent="0.3">
      <c r="A75" t="s">
        <v>99</v>
      </c>
      <c r="B75" t="s">
        <v>177</v>
      </c>
      <c r="C75" t="s">
        <v>191</v>
      </c>
      <c r="F75">
        <v>50</v>
      </c>
      <c r="G75" t="s">
        <v>204</v>
      </c>
      <c r="H75" t="s">
        <v>98</v>
      </c>
      <c r="L75" t="s">
        <v>205</v>
      </c>
      <c r="M75" t="s">
        <v>98</v>
      </c>
      <c r="N75" t="s">
        <v>98</v>
      </c>
      <c r="O75">
        <v>8</v>
      </c>
      <c r="P75">
        <v>7</v>
      </c>
      <c r="Q75">
        <v>80</v>
      </c>
      <c r="AG75">
        <v>1</v>
      </c>
      <c r="AH75">
        <v>1</v>
      </c>
      <c r="AI75" t="s">
        <v>143</v>
      </c>
    </row>
    <row r="76" spans="1:53" x14ac:dyDescent="0.3">
      <c r="A76" t="s">
        <v>206</v>
      </c>
      <c r="F76">
        <v>50</v>
      </c>
      <c r="H76" t="s">
        <v>194</v>
      </c>
      <c r="L76" t="s">
        <v>207</v>
      </c>
      <c r="M76" t="s">
        <v>98</v>
      </c>
      <c r="N76" t="s">
        <v>98</v>
      </c>
      <c r="O76">
        <v>4</v>
      </c>
      <c r="P76">
        <v>4</v>
      </c>
      <c r="Q76">
        <v>85</v>
      </c>
      <c r="R76">
        <v>5</v>
      </c>
      <c r="AG76">
        <v>1</v>
      </c>
      <c r="AH76">
        <v>1</v>
      </c>
      <c r="AI76" t="s">
        <v>143</v>
      </c>
    </row>
    <row r="77" spans="1:53" x14ac:dyDescent="0.3">
      <c r="A77" t="s">
        <v>208</v>
      </c>
      <c r="F77">
        <v>50</v>
      </c>
      <c r="H77" t="s">
        <v>194</v>
      </c>
      <c r="I77" t="s">
        <v>200</v>
      </c>
      <c r="J77" t="s">
        <v>209</v>
      </c>
      <c r="L77" t="s">
        <v>210</v>
      </c>
      <c r="M77" t="s">
        <v>98</v>
      </c>
      <c r="N77" t="s">
        <v>98</v>
      </c>
      <c r="O77">
        <v>13</v>
      </c>
      <c r="P77">
        <v>10</v>
      </c>
      <c r="Q77">
        <v>70</v>
      </c>
      <c r="AG77">
        <v>1</v>
      </c>
      <c r="AH77">
        <v>1</v>
      </c>
      <c r="AI77" t="s">
        <v>149</v>
      </c>
    </row>
    <row r="78" spans="1:53" x14ac:dyDescent="0.3">
      <c r="A78" t="s">
        <v>211</v>
      </c>
      <c r="B78" t="s">
        <v>147</v>
      </c>
      <c r="F78">
        <v>50</v>
      </c>
      <c r="H78" t="s">
        <v>194</v>
      </c>
      <c r="I78" t="s">
        <v>209</v>
      </c>
      <c r="L78" t="s">
        <v>212</v>
      </c>
      <c r="M78" t="s">
        <v>98</v>
      </c>
      <c r="N78" t="s">
        <v>98</v>
      </c>
      <c r="O78">
        <v>10</v>
      </c>
      <c r="P78">
        <v>14</v>
      </c>
      <c r="Q78">
        <v>75</v>
      </c>
      <c r="AG78">
        <v>1</v>
      </c>
      <c r="AH78">
        <v>1</v>
      </c>
      <c r="AI78" t="s">
        <v>151</v>
      </c>
    </row>
    <row r="79" spans="1:53" x14ac:dyDescent="0.3">
      <c r="A79" t="s">
        <v>213</v>
      </c>
      <c r="F79">
        <v>50</v>
      </c>
      <c r="H79" t="s">
        <v>200</v>
      </c>
      <c r="L79" t="s">
        <v>214</v>
      </c>
      <c r="M79" t="s">
        <v>98</v>
      </c>
      <c r="N79" t="s">
        <v>98</v>
      </c>
      <c r="O79">
        <v>8</v>
      </c>
      <c r="P79">
        <v>4</v>
      </c>
      <c r="Q79">
        <v>65</v>
      </c>
      <c r="AG79">
        <v>1</v>
      </c>
      <c r="AH79">
        <v>1</v>
      </c>
      <c r="AI79" t="s">
        <v>143</v>
      </c>
    </row>
    <row r="80" spans="1:53" x14ac:dyDescent="0.3">
      <c r="A80" t="s">
        <v>215</v>
      </c>
      <c r="F80">
        <v>50</v>
      </c>
      <c r="H80" t="s">
        <v>209</v>
      </c>
      <c r="L80" t="s">
        <v>216</v>
      </c>
      <c r="M80" t="s">
        <v>98</v>
      </c>
      <c r="N80" t="s">
        <v>98</v>
      </c>
      <c r="O80">
        <v>14</v>
      </c>
      <c r="P80">
        <v>10</v>
      </c>
      <c r="Q80">
        <v>70</v>
      </c>
      <c r="AC80" t="b">
        <v>1</v>
      </c>
      <c r="AG80">
        <v>1</v>
      </c>
      <c r="AH80">
        <v>1</v>
      </c>
      <c r="AI80" t="s">
        <v>167</v>
      </c>
    </row>
    <row r="81" spans="1:37" x14ac:dyDescent="0.3">
      <c r="A81" t="s">
        <v>217</v>
      </c>
      <c r="F81">
        <v>50</v>
      </c>
      <c r="H81" t="s">
        <v>209</v>
      </c>
      <c r="L81" t="s">
        <v>218</v>
      </c>
      <c r="M81" t="s">
        <v>98</v>
      </c>
      <c r="N81" t="s">
        <v>98</v>
      </c>
      <c r="O81">
        <v>9</v>
      </c>
      <c r="P81">
        <v>10</v>
      </c>
      <c r="Q81">
        <v>70</v>
      </c>
      <c r="R81">
        <v>30</v>
      </c>
      <c r="AG81">
        <v>1</v>
      </c>
      <c r="AH81">
        <v>1</v>
      </c>
      <c r="AI81" t="s">
        <v>156</v>
      </c>
    </row>
    <row r="82" spans="1:37" x14ac:dyDescent="0.3">
      <c r="A82" t="s">
        <v>219</v>
      </c>
      <c r="F82">
        <v>50</v>
      </c>
      <c r="G82" t="s">
        <v>220</v>
      </c>
      <c r="H82" t="s">
        <v>200</v>
      </c>
      <c r="L82" t="s">
        <v>221</v>
      </c>
      <c r="M82" t="s">
        <v>98</v>
      </c>
      <c r="N82" t="s">
        <v>98</v>
      </c>
      <c r="O82">
        <v>13</v>
      </c>
      <c r="P82">
        <v>7</v>
      </c>
      <c r="Q82">
        <v>70</v>
      </c>
      <c r="Y82" t="s">
        <v>147</v>
      </c>
      <c r="AA82">
        <v>3</v>
      </c>
      <c r="AG82">
        <v>1</v>
      </c>
      <c r="AH82">
        <v>1</v>
      </c>
      <c r="AI82" t="s">
        <v>149</v>
      </c>
    </row>
    <row r="83" spans="1:37" x14ac:dyDescent="0.3">
      <c r="A83" t="s">
        <v>222</v>
      </c>
      <c r="F83">
        <v>50</v>
      </c>
      <c r="H83" t="s">
        <v>203</v>
      </c>
      <c r="L83" t="s">
        <v>223</v>
      </c>
      <c r="M83" t="s">
        <v>98</v>
      </c>
      <c r="N83" t="s">
        <v>98</v>
      </c>
      <c r="O83">
        <v>11</v>
      </c>
      <c r="P83">
        <v>6</v>
      </c>
      <c r="Q83">
        <v>65</v>
      </c>
      <c r="AG83">
        <v>1</v>
      </c>
      <c r="AH83">
        <v>2</v>
      </c>
      <c r="AI83" t="s">
        <v>143</v>
      </c>
    </row>
    <row r="84" spans="1:37" x14ac:dyDescent="0.3">
      <c r="A84" t="s">
        <v>224</v>
      </c>
      <c r="F84">
        <v>50</v>
      </c>
      <c r="H84" t="s">
        <v>194</v>
      </c>
      <c r="I84" t="s">
        <v>203</v>
      </c>
      <c r="J84" t="s">
        <v>209</v>
      </c>
      <c r="L84" t="s">
        <v>225</v>
      </c>
      <c r="M84" t="s">
        <v>98</v>
      </c>
      <c r="N84" t="s">
        <v>98</v>
      </c>
      <c r="O84">
        <v>10</v>
      </c>
      <c r="P84">
        <v>12</v>
      </c>
      <c r="Q84">
        <v>70</v>
      </c>
      <c r="R84">
        <v>5</v>
      </c>
      <c r="AG84">
        <v>1</v>
      </c>
      <c r="AH84">
        <v>2</v>
      </c>
      <c r="AI84" t="s">
        <v>167</v>
      </c>
    </row>
    <row r="85" spans="1:37" x14ac:dyDescent="0.3">
      <c r="A85" t="s">
        <v>226</v>
      </c>
      <c r="F85">
        <v>50</v>
      </c>
      <c r="H85" t="s">
        <v>203</v>
      </c>
      <c r="I85" t="s">
        <v>209</v>
      </c>
      <c r="L85" t="s">
        <v>227</v>
      </c>
      <c r="M85" t="s">
        <v>98</v>
      </c>
      <c r="N85" t="s">
        <v>98</v>
      </c>
      <c r="O85">
        <v>11</v>
      </c>
      <c r="P85">
        <v>10</v>
      </c>
      <c r="Q85">
        <v>70</v>
      </c>
      <c r="R85">
        <v>5</v>
      </c>
      <c r="AB85" t="b">
        <v>1</v>
      </c>
      <c r="AG85">
        <v>1</v>
      </c>
      <c r="AH85">
        <v>1</v>
      </c>
      <c r="AI85" t="s">
        <v>156</v>
      </c>
    </row>
    <row r="86" spans="1:37" x14ac:dyDescent="0.3">
      <c r="A86" t="s">
        <v>228</v>
      </c>
      <c r="F86">
        <v>50</v>
      </c>
      <c r="H86" t="s">
        <v>162</v>
      </c>
      <c r="L86" t="s">
        <v>229</v>
      </c>
      <c r="M86" t="s">
        <v>98</v>
      </c>
      <c r="N86" t="s">
        <v>98</v>
      </c>
      <c r="O86">
        <v>8</v>
      </c>
      <c r="P86">
        <v>10</v>
      </c>
      <c r="Q86">
        <v>80</v>
      </c>
      <c r="R86">
        <v>10</v>
      </c>
      <c r="Y86" t="s">
        <v>147</v>
      </c>
      <c r="Z86" t="s">
        <v>161</v>
      </c>
      <c r="AA86">
        <v>3</v>
      </c>
      <c r="AG86">
        <v>1</v>
      </c>
      <c r="AH86">
        <v>1</v>
      </c>
      <c r="AI86" t="s">
        <v>136</v>
      </c>
      <c r="AK86" t="s">
        <v>230</v>
      </c>
    </row>
    <row r="87" spans="1:37" x14ac:dyDescent="0.3">
      <c r="A87" t="s">
        <v>231</v>
      </c>
      <c r="F87">
        <v>50</v>
      </c>
      <c r="H87" t="s">
        <v>162</v>
      </c>
      <c r="L87" t="s">
        <v>232</v>
      </c>
      <c r="M87" t="s">
        <v>98</v>
      </c>
      <c r="N87" t="s">
        <v>98</v>
      </c>
      <c r="O87">
        <v>8</v>
      </c>
      <c r="P87">
        <v>10</v>
      </c>
      <c r="Q87">
        <v>70</v>
      </c>
      <c r="Y87" t="s">
        <v>177</v>
      </c>
      <c r="AA87">
        <v>3</v>
      </c>
      <c r="AG87">
        <v>1</v>
      </c>
      <c r="AH87">
        <v>1</v>
      </c>
      <c r="AI87" t="s">
        <v>156</v>
      </c>
    </row>
    <row r="88" spans="1:37" x14ac:dyDescent="0.3">
      <c r="A88" t="s">
        <v>233</v>
      </c>
      <c r="E88">
        <v>15</v>
      </c>
      <c r="F88">
        <v>50</v>
      </c>
      <c r="H88" t="s">
        <v>162</v>
      </c>
      <c r="L88" t="s">
        <v>234</v>
      </c>
      <c r="M88" t="s">
        <v>98</v>
      </c>
      <c r="N88" t="s">
        <v>98</v>
      </c>
      <c r="O88">
        <v>11</v>
      </c>
      <c r="P88">
        <v>15</v>
      </c>
      <c r="Q88">
        <v>85</v>
      </c>
      <c r="W88">
        <v>5</v>
      </c>
      <c r="Y88" t="s">
        <v>184</v>
      </c>
      <c r="AA88">
        <v>2</v>
      </c>
      <c r="AG88">
        <v>1</v>
      </c>
      <c r="AH88">
        <v>1</v>
      </c>
      <c r="AI88" t="s">
        <v>187</v>
      </c>
    </row>
    <row r="89" spans="1:37" x14ac:dyDescent="0.3">
      <c r="A89" t="s">
        <v>235</v>
      </c>
      <c r="F89">
        <v>50</v>
      </c>
      <c r="H89" t="s">
        <v>98</v>
      </c>
      <c r="L89" t="s">
        <v>236</v>
      </c>
      <c r="M89" t="s">
        <v>98</v>
      </c>
      <c r="N89" t="s">
        <v>98</v>
      </c>
      <c r="O89">
        <v>11</v>
      </c>
      <c r="P89">
        <v>17</v>
      </c>
      <c r="Q89">
        <v>80</v>
      </c>
      <c r="S89">
        <v>5</v>
      </c>
      <c r="Y89" t="s">
        <v>184</v>
      </c>
      <c r="AA89">
        <v>2</v>
      </c>
      <c r="AG89">
        <v>1</v>
      </c>
      <c r="AH89">
        <v>1</v>
      </c>
      <c r="AI89" t="s">
        <v>136</v>
      </c>
      <c r="AK89" t="s">
        <v>230</v>
      </c>
    </row>
    <row r="90" spans="1:37" x14ac:dyDescent="0.3">
      <c r="A90" t="s">
        <v>237</v>
      </c>
      <c r="F90">
        <v>50</v>
      </c>
      <c r="H90" t="s">
        <v>98</v>
      </c>
      <c r="L90" t="s">
        <v>52</v>
      </c>
      <c r="M90" t="s">
        <v>98</v>
      </c>
      <c r="N90" t="s">
        <v>98</v>
      </c>
      <c r="O90">
        <v>14</v>
      </c>
      <c r="P90">
        <v>9</v>
      </c>
      <c r="Q90">
        <v>70</v>
      </c>
      <c r="Y90" t="s">
        <v>161</v>
      </c>
      <c r="AA90">
        <v>3</v>
      </c>
      <c r="AG90">
        <v>1</v>
      </c>
      <c r="AH90">
        <v>1</v>
      </c>
      <c r="AI90" t="s">
        <v>149</v>
      </c>
    </row>
    <row r="91" spans="1:37" x14ac:dyDescent="0.3">
      <c r="A91" t="s">
        <v>238</v>
      </c>
      <c r="E91">
        <v>15</v>
      </c>
      <c r="F91">
        <v>50</v>
      </c>
      <c r="H91" t="s">
        <v>98</v>
      </c>
      <c r="L91" t="s">
        <v>239</v>
      </c>
      <c r="M91" t="s">
        <v>98</v>
      </c>
      <c r="N91" t="s">
        <v>98</v>
      </c>
      <c r="O91">
        <v>12</v>
      </c>
      <c r="P91">
        <v>9</v>
      </c>
      <c r="Q91">
        <v>60</v>
      </c>
      <c r="AG91">
        <v>1</v>
      </c>
      <c r="AH91">
        <v>2</v>
      </c>
      <c r="AI91" t="s">
        <v>156</v>
      </c>
    </row>
    <row r="92" spans="1:37" x14ac:dyDescent="0.3">
      <c r="A92" t="s">
        <v>240</v>
      </c>
      <c r="F92">
        <v>50</v>
      </c>
      <c r="H92" t="s">
        <v>194</v>
      </c>
      <c r="L92" t="s">
        <v>241</v>
      </c>
      <c r="M92" t="s">
        <v>162</v>
      </c>
      <c r="N92" t="s">
        <v>162</v>
      </c>
      <c r="O92">
        <v>10</v>
      </c>
      <c r="P92">
        <v>8</v>
      </c>
      <c r="Q92">
        <v>75</v>
      </c>
      <c r="AG92">
        <v>1</v>
      </c>
      <c r="AH92">
        <v>1</v>
      </c>
      <c r="AI92" t="s">
        <v>143</v>
      </c>
    </row>
    <row r="93" spans="1:37" x14ac:dyDescent="0.3">
      <c r="A93" t="s">
        <v>242</v>
      </c>
      <c r="F93">
        <v>50</v>
      </c>
      <c r="H93" t="s">
        <v>194</v>
      </c>
      <c r="L93" t="s">
        <v>243</v>
      </c>
      <c r="M93" t="s">
        <v>162</v>
      </c>
      <c r="N93" t="s">
        <v>162</v>
      </c>
      <c r="O93">
        <v>15</v>
      </c>
      <c r="P93">
        <v>11</v>
      </c>
      <c r="Q93">
        <v>65</v>
      </c>
      <c r="AG93">
        <v>1</v>
      </c>
      <c r="AH93">
        <v>1</v>
      </c>
      <c r="AI93" t="s">
        <v>143</v>
      </c>
    </row>
    <row r="94" spans="1:37" x14ac:dyDescent="0.3">
      <c r="A94" t="s">
        <v>244</v>
      </c>
      <c r="F94">
        <v>50</v>
      </c>
      <c r="H94" t="s">
        <v>194</v>
      </c>
      <c r="I94" t="s">
        <v>203</v>
      </c>
      <c r="J94" t="s">
        <v>200</v>
      </c>
      <c r="L94" t="s">
        <v>245</v>
      </c>
      <c r="M94" t="s">
        <v>162</v>
      </c>
      <c r="N94" t="s">
        <v>162</v>
      </c>
      <c r="O94">
        <v>12</v>
      </c>
      <c r="P94">
        <v>15</v>
      </c>
      <c r="Q94">
        <v>70</v>
      </c>
      <c r="AG94">
        <v>1</v>
      </c>
      <c r="AH94">
        <v>1</v>
      </c>
      <c r="AI94" t="s">
        <v>151</v>
      </c>
    </row>
    <row r="95" spans="1:37" x14ac:dyDescent="0.3">
      <c r="A95" t="s">
        <v>246</v>
      </c>
      <c r="B95" t="s">
        <v>191</v>
      </c>
      <c r="C95" t="s">
        <v>177</v>
      </c>
      <c r="F95">
        <v>50</v>
      </c>
      <c r="H95" t="s">
        <v>247</v>
      </c>
      <c r="L95" t="s">
        <v>248</v>
      </c>
      <c r="M95" t="s">
        <v>162</v>
      </c>
      <c r="N95" t="s">
        <v>162</v>
      </c>
      <c r="O95">
        <v>10</v>
      </c>
      <c r="P95">
        <v>4</v>
      </c>
      <c r="Q95">
        <v>60</v>
      </c>
      <c r="AG95">
        <v>1</v>
      </c>
      <c r="AH95">
        <v>1</v>
      </c>
      <c r="AI95" t="s">
        <v>149</v>
      </c>
    </row>
    <row r="96" spans="1:37" x14ac:dyDescent="0.3">
      <c r="A96" t="s">
        <v>249</v>
      </c>
      <c r="B96" t="s">
        <v>184</v>
      </c>
      <c r="C96" t="s">
        <v>191</v>
      </c>
      <c r="D96" t="s">
        <v>177</v>
      </c>
      <c r="F96">
        <v>50</v>
      </c>
      <c r="H96" t="s">
        <v>250</v>
      </c>
      <c r="L96" t="s">
        <v>251</v>
      </c>
      <c r="M96" t="s">
        <v>162</v>
      </c>
      <c r="N96" t="s">
        <v>162</v>
      </c>
      <c r="O96">
        <v>16</v>
      </c>
      <c r="P96">
        <v>10</v>
      </c>
      <c r="Q96">
        <v>65</v>
      </c>
      <c r="AC96" t="b">
        <v>1</v>
      </c>
      <c r="AG96">
        <v>1</v>
      </c>
      <c r="AH96">
        <v>1</v>
      </c>
      <c r="AI96" t="s">
        <v>167</v>
      </c>
    </row>
    <row r="97" spans="1:41" x14ac:dyDescent="0.3">
      <c r="A97" t="s">
        <v>252</v>
      </c>
      <c r="F97">
        <v>50</v>
      </c>
      <c r="H97" t="s">
        <v>162</v>
      </c>
      <c r="L97" t="s">
        <v>253</v>
      </c>
      <c r="M97" t="s">
        <v>162</v>
      </c>
      <c r="N97" t="s">
        <v>162</v>
      </c>
      <c r="O97">
        <v>11</v>
      </c>
      <c r="P97">
        <v>11</v>
      </c>
      <c r="Q97">
        <v>65</v>
      </c>
      <c r="R97">
        <v>30</v>
      </c>
      <c r="AG97">
        <v>1</v>
      </c>
      <c r="AH97">
        <v>1</v>
      </c>
      <c r="AI97" t="s">
        <v>156</v>
      </c>
    </row>
    <row r="98" spans="1:41" x14ac:dyDescent="0.3">
      <c r="A98" t="s">
        <v>254</v>
      </c>
      <c r="F98">
        <v>50</v>
      </c>
      <c r="H98" t="s">
        <v>162</v>
      </c>
      <c r="I98" t="s">
        <v>102</v>
      </c>
      <c r="L98" t="s">
        <v>255</v>
      </c>
      <c r="M98" t="s">
        <v>162</v>
      </c>
      <c r="N98" t="s">
        <v>162</v>
      </c>
      <c r="O98">
        <v>15</v>
      </c>
      <c r="P98">
        <v>10</v>
      </c>
      <c r="Q98">
        <v>60</v>
      </c>
      <c r="Y98" t="s">
        <v>147</v>
      </c>
      <c r="AA98">
        <v>3</v>
      </c>
      <c r="AG98">
        <v>1</v>
      </c>
      <c r="AH98">
        <v>1</v>
      </c>
      <c r="AI98" t="s">
        <v>149</v>
      </c>
    </row>
    <row r="99" spans="1:41" x14ac:dyDescent="0.3">
      <c r="A99" t="s">
        <v>256</v>
      </c>
      <c r="F99">
        <v>50</v>
      </c>
      <c r="H99" t="s">
        <v>162</v>
      </c>
      <c r="L99" t="s">
        <v>257</v>
      </c>
      <c r="M99" t="s">
        <v>162</v>
      </c>
      <c r="N99" t="s">
        <v>162</v>
      </c>
      <c r="O99">
        <v>15</v>
      </c>
      <c r="P99">
        <v>10</v>
      </c>
      <c r="Q99">
        <v>55</v>
      </c>
      <c r="Y99" t="s">
        <v>161</v>
      </c>
      <c r="AA99">
        <v>3</v>
      </c>
      <c r="AG99">
        <v>1</v>
      </c>
      <c r="AH99">
        <v>1</v>
      </c>
      <c r="AI99" t="s">
        <v>149</v>
      </c>
    </row>
    <row r="100" spans="1:41" x14ac:dyDescent="0.3">
      <c r="A100" t="s">
        <v>258</v>
      </c>
      <c r="F100">
        <v>50</v>
      </c>
      <c r="H100" t="s">
        <v>162</v>
      </c>
      <c r="L100" t="s">
        <v>259</v>
      </c>
      <c r="M100" t="s">
        <v>162</v>
      </c>
      <c r="N100" t="s">
        <v>162</v>
      </c>
      <c r="O100">
        <v>12</v>
      </c>
      <c r="P100">
        <v>7</v>
      </c>
      <c r="Q100">
        <v>60</v>
      </c>
      <c r="AG100">
        <v>1</v>
      </c>
      <c r="AH100">
        <v>2</v>
      </c>
      <c r="AI100" t="s">
        <v>143</v>
      </c>
    </row>
    <row r="101" spans="1:41" x14ac:dyDescent="0.3">
      <c r="A101" t="s">
        <v>260</v>
      </c>
      <c r="E101">
        <v>15</v>
      </c>
      <c r="F101">
        <v>50</v>
      </c>
      <c r="H101" t="s">
        <v>162</v>
      </c>
      <c r="L101" t="s">
        <v>261</v>
      </c>
      <c r="M101" t="s">
        <v>162</v>
      </c>
      <c r="N101" t="s">
        <v>162</v>
      </c>
      <c r="O101">
        <v>14</v>
      </c>
      <c r="P101">
        <v>13</v>
      </c>
      <c r="Q101">
        <v>65</v>
      </c>
      <c r="AG101">
        <v>1</v>
      </c>
      <c r="AH101">
        <v>2</v>
      </c>
      <c r="AI101" t="s">
        <v>151</v>
      </c>
    </row>
    <row r="102" spans="1:41" x14ac:dyDescent="0.3">
      <c r="A102" t="s">
        <v>262</v>
      </c>
      <c r="B102" t="s">
        <v>191</v>
      </c>
      <c r="F102">
        <v>50</v>
      </c>
      <c r="H102" t="s">
        <v>98</v>
      </c>
      <c r="L102" t="s">
        <v>263</v>
      </c>
      <c r="M102" t="s">
        <v>162</v>
      </c>
      <c r="N102" t="s">
        <v>162</v>
      </c>
      <c r="O102">
        <v>13</v>
      </c>
      <c r="P102">
        <v>11</v>
      </c>
      <c r="Q102">
        <v>65</v>
      </c>
      <c r="R102">
        <v>5</v>
      </c>
      <c r="AB102" t="b">
        <v>1</v>
      </c>
      <c r="AG102">
        <v>1</v>
      </c>
      <c r="AH102">
        <v>1</v>
      </c>
      <c r="AI102" t="s">
        <v>156</v>
      </c>
    </row>
    <row r="103" spans="1:41" x14ac:dyDescent="0.3">
      <c r="A103" t="s">
        <v>264</v>
      </c>
      <c r="B103" t="s">
        <v>191</v>
      </c>
      <c r="F103">
        <v>50</v>
      </c>
      <c r="H103" t="s">
        <v>96</v>
      </c>
      <c r="I103" t="s">
        <v>98</v>
      </c>
      <c r="L103" t="s">
        <v>265</v>
      </c>
      <c r="M103" t="s">
        <v>162</v>
      </c>
      <c r="N103" t="s">
        <v>162</v>
      </c>
      <c r="O103">
        <v>13</v>
      </c>
      <c r="P103">
        <v>11</v>
      </c>
      <c r="Q103">
        <v>80</v>
      </c>
      <c r="R103">
        <v>5</v>
      </c>
      <c r="Y103" t="s">
        <v>96</v>
      </c>
      <c r="AA103">
        <v>3</v>
      </c>
      <c r="AB103" t="b">
        <v>1</v>
      </c>
      <c r="AG103">
        <v>1</v>
      </c>
      <c r="AH103">
        <v>1</v>
      </c>
      <c r="AI103" t="s">
        <v>156</v>
      </c>
    </row>
    <row r="104" spans="1:41" x14ac:dyDescent="0.3">
      <c r="A104" t="s">
        <v>266</v>
      </c>
      <c r="B104" t="s">
        <v>147</v>
      </c>
      <c r="F104">
        <v>50</v>
      </c>
      <c r="H104" t="s">
        <v>209</v>
      </c>
      <c r="L104" t="s">
        <v>267</v>
      </c>
      <c r="M104" t="s">
        <v>162</v>
      </c>
      <c r="N104" t="s">
        <v>162</v>
      </c>
      <c r="O104">
        <v>5</v>
      </c>
      <c r="P104">
        <v>4</v>
      </c>
      <c r="Q104">
        <v>85</v>
      </c>
      <c r="AG104">
        <v>1</v>
      </c>
      <c r="AH104">
        <v>2</v>
      </c>
      <c r="AI104" t="s">
        <v>143</v>
      </c>
    </row>
    <row r="105" spans="1:41" x14ac:dyDescent="0.3">
      <c r="A105" t="s">
        <v>268</v>
      </c>
      <c r="B105" t="s">
        <v>147</v>
      </c>
      <c r="F105">
        <v>50</v>
      </c>
      <c r="H105" t="s">
        <v>200</v>
      </c>
      <c r="I105" t="s">
        <v>209</v>
      </c>
      <c r="L105" t="s">
        <v>269</v>
      </c>
      <c r="M105" t="s">
        <v>162</v>
      </c>
      <c r="N105" t="s">
        <v>162</v>
      </c>
      <c r="O105">
        <v>11</v>
      </c>
      <c r="P105">
        <v>12</v>
      </c>
      <c r="Q105">
        <v>60</v>
      </c>
      <c r="Y105" t="s">
        <v>177</v>
      </c>
      <c r="AA105">
        <v>3</v>
      </c>
      <c r="AG105">
        <v>1</v>
      </c>
      <c r="AH105">
        <v>1</v>
      </c>
      <c r="AI105" t="s">
        <v>156</v>
      </c>
    </row>
    <row r="106" spans="1:41" x14ac:dyDescent="0.3">
      <c r="A106" t="s">
        <v>270</v>
      </c>
      <c r="F106">
        <v>50</v>
      </c>
      <c r="H106" t="s">
        <v>203</v>
      </c>
      <c r="I106" t="s">
        <v>209</v>
      </c>
      <c r="L106" t="s">
        <v>271</v>
      </c>
      <c r="M106" t="s">
        <v>162</v>
      </c>
      <c r="N106" t="s">
        <v>162</v>
      </c>
      <c r="O106">
        <v>15</v>
      </c>
      <c r="P106">
        <v>13</v>
      </c>
      <c r="Q106">
        <v>60</v>
      </c>
      <c r="R106">
        <v>5</v>
      </c>
      <c r="AG106">
        <v>1</v>
      </c>
      <c r="AH106">
        <v>1</v>
      </c>
      <c r="AI106" t="s">
        <v>167</v>
      </c>
    </row>
    <row r="107" spans="1:41" x14ac:dyDescent="0.3">
      <c r="A107" t="s">
        <v>272</v>
      </c>
      <c r="F107">
        <v>50</v>
      </c>
      <c r="H107" t="s">
        <v>102</v>
      </c>
      <c r="L107" t="s">
        <v>273</v>
      </c>
      <c r="M107" t="s">
        <v>162</v>
      </c>
      <c r="N107" t="s">
        <v>162</v>
      </c>
      <c r="O107">
        <v>13</v>
      </c>
      <c r="P107">
        <v>20</v>
      </c>
      <c r="Q107">
        <v>75</v>
      </c>
      <c r="U107">
        <v>5</v>
      </c>
      <c r="Y107" t="s">
        <v>184</v>
      </c>
      <c r="AA107">
        <v>2</v>
      </c>
      <c r="AG107">
        <v>1</v>
      </c>
      <c r="AH107">
        <v>1</v>
      </c>
      <c r="AI107" t="s">
        <v>187</v>
      </c>
    </row>
    <row r="108" spans="1:41" x14ac:dyDescent="0.3">
      <c r="A108" t="s">
        <v>274</v>
      </c>
      <c r="F108">
        <v>50</v>
      </c>
      <c r="H108" t="s">
        <v>162</v>
      </c>
      <c r="L108" t="s">
        <v>275</v>
      </c>
      <c r="M108" t="s">
        <v>162</v>
      </c>
      <c r="N108" t="s">
        <v>162</v>
      </c>
      <c r="O108">
        <v>18</v>
      </c>
      <c r="P108">
        <v>18</v>
      </c>
      <c r="Q108">
        <v>55</v>
      </c>
      <c r="AG108">
        <v>1</v>
      </c>
      <c r="AH108">
        <v>1</v>
      </c>
      <c r="AI108" t="s">
        <v>143</v>
      </c>
      <c r="AN108" t="b">
        <v>1</v>
      </c>
      <c r="AO108" t="s">
        <v>276</v>
      </c>
    </row>
    <row r="109" spans="1:41" x14ac:dyDescent="0.3">
      <c r="A109" t="s">
        <v>277</v>
      </c>
      <c r="B109" t="s">
        <v>184</v>
      </c>
      <c r="F109">
        <v>50</v>
      </c>
      <c r="H109" t="s">
        <v>278</v>
      </c>
      <c r="L109" t="s">
        <v>55</v>
      </c>
      <c r="M109" t="s">
        <v>102</v>
      </c>
      <c r="O109">
        <v>5</v>
      </c>
      <c r="P109">
        <v>6</v>
      </c>
      <c r="Q109">
        <v>85</v>
      </c>
      <c r="Y109" t="s">
        <v>191</v>
      </c>
      <c r="AA109">
        <v>3</v>
      </c>
      <c r="AG109">
        <v>2</v>
      </c>
      <c r="AH109">
        <v>2</v>
      </c>
      <c r="AI109" t="s">
        <v>143</v>
      </c>
    </row>
    <row r="110" spans="1:41" x14ac:dyDescent="0.3">
      <c r="A110" t="s">
        <v>279</v>
      </c>
      <c r="B110" t="s">
        <v>184</v>
      </c>
      <c r="F110">
        <v>50</v>
      </c>
      <c r="H110" t="s">
        <v>278</v>
      </c>
      <c r="L110" t="s">
        <v>280</v>
      </c>
      <c r="M110" t="s">
        <v>102</v>
      </c>
      <c r="O110">
        <v>9</v>
      </c>
      <c r="P110">
        <v>9</v>
      </c>
      <c r="Q110">
        <v>70</v>
      </c>
      <c r="Y110" t="s">
        <v>191</v>
      </c>
      <c r="AA110">
        <v>3</v>
      </c>
      <c r="AG110">
        <v>2</v>
      </c>
      <c r="AH110">
        <v>2</v>
      </c>
      <c r="AI110" t="s">
        <v>149</v>
      </c>
    </row>
    <row r="111" spans="1:41" x14ac:dyDescent="0.3">
      <c r="A111" t="s">
        <v>281</v>
      </c>
      <c r="B111" t="s">
        <v>184</v>
      </c>
      <c r="F111">
        <v>50</v>
      </c>
      <c r="H111" t="s">
        <v>96</v>
      </c>
      <c r="I111" t="s">
        <v>98</v>
      </c>
      <c r="J111" t="s">
        <v>102</v>
      </c>
      <c r="L111" t="s">
        <v>62</v>
      </c>
      <c r="M111" t="s">
        <v>102</v>
      </c>
      <c r="O111">
        <v>6</v>
      </c>
      <c r="P111">
        <v>13</v>
      </c>
      <c r="Q111">
        <v>75</v>
      </c>
      <c r="Y111" t="s">
        <v>191</v>
      </c>
      <c r="AA111">
        <v>3</v>
      </c>
      <c r="AG111">
        <v>2</v>
      </c>
      <c r="AH111">
        <v>2</v>
      </c>
      <c r="AI111" t="s">
        <v>151</v>
      </c>
    </row>
    <row r="112" spans="1:41" x14ac:dyDescent="0.3">
      <c r="A112" t="s">
        <v>282</v>
      </c>
      <c r="B112" t="s">
        <v>184</v>
      </c>
      <c r="F112">
        <v>50</v>
      </c>
      <c r="H112" t="s">
        <v>96</v>
      </c>
      <c r="I112" t="s">
        <v>98</v>
      </c>
      <c r="J112" t="s">
        <v>102</v>
      </c>
      <c r="L112" t="s">
        <v>283</v>
      </c>
      <c r="M112" t="s">
        <v>102</v>
      </c>
      <c r="O112">
        <v>5</v>
      </c>
      <c r="P112">
        <v>4</v>
      </c>
      <c r="Q112">
        <v>65</v>
      </c>
      <c r="Y112" t="s">
        <v>191</v>
      </c>
      <c r="AA112">
        <v>3</v>
      </c>
      <c r="AG112">
        <v>2</v>
      </c>
      <c r="AH112">
        <v>2</v>
      </c>
      <c r="AI112" t="s">
        <v>149</v>
      </c>
    </row>
    <row r="113" spans="1:36" x14ac:dyDescent="0.3">
      <c r="A113" t="s">
        <v>284</v>
      </c>
      <c r="B113" t="s">
        <v>184</v>
      </c>
      <c r="F113">
        <v>50</v>
      </c>
      <c r="H113" t="s">
        <v>278</v>
      </c>
      <c r="L113" t="s">
        <v>285</v>
      </c>
      <c r="M113" t="s">
        <v>102</v>
      </c>
      <c r="O113">
        <v>7</v>
      </c>
      <c r="P113">
        <v>9</v>
      </c>
      <c r="Q113">
        <v>75</v>
      </c>
      <c r="R113">
        <v>30</v>
      </c>
      <c r="Y113" t="s">
        <v>191</v>
      </c>
      <c r="AA113">
        <v>3</v>
      </c>
      <c r="AG113">
        <v>2</v>
      </c>
      <c r="AH113">
        <v>2</v>
      </c>
      <c r="AI113" t="s">
        <v>156</v>
      </c>
    </row>
    <row r="114" spans="1:36" x14ac:dyDescent="0.3">
      <c r="A114" t="s">
        <v>286</v>
      </c>
      <c r="B114" t="s">
        <v>184</v>
      </c>
      <c r="F114">
        <v>50</v>
      </c>
      <c r="H114" t="s">
        <v>278</v>
      </c>
      <c r="L114" t="s">
        <v>287</v>
      </c>
      <c r="M114" t="s">
        <v>102</v>
      </c>
      <c r="O114">
        <v>12</v>
      </c>
      <c r="P114">
        <v>10</v>
      </c>
      <c r="Q114">
        <v>70</v>
      </c>
      <c r="Y114" t="s">
        <v>191</v>
      </c>
      <c r="AA114">
        <v>3</v>
      </c>
      <c r="AC114" t="b">
        <v>1</v>
      </c>
      <c r="AG114">
        <v>2</v>
      </c>
      <c r="AH114">
        <v>2</v>
      </c>
      <c r="AI114" t="s">
        <v>167</v>
      </c>
    </row>
    <row r="115" spans="1:36" x14ac:dyDescent="0.3">
      <c r="A115" t="s">
        <v>288</v>
      </c>
      <c r="B115" t="s">
        <v>184</v>
      </c>
      <c r="F115">
        <v>50</v>
      </c>
      <c r="H115" t="s">
        <v>162</v>
      </c>
      <c r="L115" t="s">
        <v>289</v>
      </c>
      <c r="M115" t="s">
        <v>102</v>
      </c>
      <c r="O115">
        <v>3</v>
      </c>
      <c r="P115">
        <v>5</v>
      </c>
      <c r="Q115">
        <v>85</v>
      </c>
      <c r="R115">
        <v>10</v>
      </c>
      <c r="Y115" t="s">
        <v>191</v>
      </c>
      <c r="AA115">
        <v>3</v>
      </c>
      <c r="AG115">
        <v>2</v>
      </c>
      <c r="AH115">
        <v>2</v>
      </c>
      <c r="AI115" t="s">
        <v>149</v>
      </c>
    </row>
    <row r="116" spans="1:36" x14ac:dyDescent="0.3">
      <c r="A116" t="s">
        <v>290</v>
      </c>
      <c r="B116" t="s">
        <v>184</v>
      </c>
      <c r="F116">
        <v>50</v>
      </c>
      <c r="H116" t="s">
        <v>291</v>
      </c>
      <c r="L116" t="s">
        <v>292</v>
      </c>
      <c r="M116" t="s">
        <v>102</v>
      </c>
      <c r="O116">
        <v>10</v>
      </c>
      <c r="P116">
        <v>5</v>
      </c>
      <c r="Q116">
        <v>65</v>
      </c>
      <c r="Y116" t="s">
        <v>191</v>
      </c>
      <c r="AA116">
        <v>3</v>
      </c>
      <c r="AG116">
        <v>2</v>
      </c>
      <c r="AH116">
        <v>3</v>
      </c>
      <c r="AI116" t="s">
        <v>149</v>
      </c>
    </row>
    <row r="117" spans="1:36" x14ac:dyDescent="0.3">
      <c r="A117" t="s">
        <v>293</v>
      </c>
      <c r="B117" t="s">
        <v>184</v>
      </c>
      <c r="F117">
        <v>50</v>
      </c>
      <c r="H117" t="s">
        <v>291</v>
      </c>
      <c r="L117" t="s">
        <v>189</v>
      </c>
      <c r="M117" t="s">
        <v>189</v>
      </c>
      <c r="O117">
        <v>20</v>
      </c>
      <c r="P117">
        <v>8</v>
      </c>
      <c r="Q117">
        <v>60</v>
      </c>
      <c r="Y117" t="s">
        <v>191</v>
      </c>
      <c r="AA117">
        <v>3</v>
      </c>
      <c r="AE117" t="b">
        <v>1</v>
      </c>
      <c r="AG117">
        <v>3</v>
      </c>
      <c r="AH117">
        <v>10</v>
      </c>
      <c r="AI117" t="s">
        <v>143</v>
      </c>
    </row>
    <row r="118" spans="1:36" x14ac:dyDescent="0.3">
      <c r="A118" t="s">
        <v>294</v>
      </c>
      <c r="B118" t="s">
        <v>184</v>
      </c>
      <c r="C118" t="s">
        <v>147</v>
      </c>
      <c r="F118">
        <v>50</v>
      </c>
      <c r="H118" t="s">
        <v>162</v>
      </c>
      <c r="L118" t="s">
        <v>295</v>
      </c>
      <c r="M118" t="s">
        <v>189</v>
      </c>
      <c r="O118">
        <v>20</v>
      </c>
      <c r="P118">
        <v>13</v>
      </c>
      <c r="Q118">
        <v>60</v>
      </c>
      <c r="Y118" t="s">
        <v>191</v>
      </c>
      <c r="AA118">
        <v>3</v>
      </c>
      <c r="AE118" t="b">
        <v>1</v>
      </c>
      <c r="AG118">
        <v>3</v>
      </c>
      <c r="AH118">
        <v>10</v>
      </c>
      <c r="AI118" t="s">
        <v>143</v>
      </c>
    </row>
    <row r="119" spans="1:36" x14ac:dyDescent="0.3">
      <c r="A119" t="s">
        <v>296</v>
      </c>
      <c r="B119" t="s">
        <v>184</v>
      </c>
      <c r="C119" t="s">
        <v>147</v>
      </c>
      <c r="F119">
        <v>50</v>
      </c>
      <c r="H119" t="s">
        <v>162</v>
      </c>
      <c r="I119" t="s">
        <v>102</v>
      </c>
      <c r="L119" t="s">
        <v>297</v>
      </c>
      <c r="M119" t="s">
        <v>189</v>
      </c>
      <c r="O119">
        <v>20</v>
      </c>
      <c r="P119">
        <v>12</v>
      </c>
      <c r="Q119">
        <v>65</v>
      </c>
      <c r="R119">
        <v>10</v>
      </c>
      <c r="Y119" t="s">
        <v>191</v>
      </c>
      <c r="AA119">
        <v>3</v>
      </c>
      <c r="AE119" t="b">
        <v>1</v>
      </c>
      <c r="AG119">
        <v>3</v>
      </c>
      <c r="AH119">
        <v>10</v>
      </c>
      <c r="AI119" t="s">
        <v>143</v>
      </c>
    </row>
    <row r="120" spans="1:36" x14ac:dyDescent="0.3">
      <c r="A120" t="s">
        <v>298</v>
      </c>
      <c r="B120" t="s">
        <v>184</v>
      </c>
      <c r="C120" t="s">
        <v>299</v>
      </c>
      <c r="F120">
        <v>50</v>
      </c>
      <c r="H120" t="s">
        <v>300</v>
      </c>
      <c r="I120" t="s">
        <v>301</v>
      </c>
      <c r="L120" t="s">
        <v>302</v>
      </c>
      <c r="M120" t="s">
        <v>102</v>
      </c>
      <c r="O120">
        <v>7</v>
      </c>
      <c r="P120">
        <v>18</v>
      </c>
      <c r="Q120">
        <v>80</v>
      </c>
      <c r="V120">
        <v>5</v>
      </c>
      <c r="Y120" t="s">
        <v>184</v>
      </c>
      <c r="AA120">
        <v>2</v>
      </c>
      <c r="AG120">
        <v>2</v>
      </c>
      <c r="AH120">
        <v>2</v>
      </c>
      <c r="AI120" t="s">
        <v>187</v>
      </c>
    </row>
    <row r="121" spans="1:36" x14ac:dyDescent="0.3">
      <c r="A121" t="s">
        <v>303</v>
      </c>
      <c r="B121" t="s">
        <v>184</v>
      </c>
      <c r="C121" t="s">
        <v>299</v>
      </c>
      <c r="F121">
        <v>50</v>
      </c>
      <c r="H121" t="s">
        <v>300</v>
      </c>
      <c r="I121" t="s">
        <v>301</v>
      </c>
      <c r="L121" t="s">
        <v>304</v>
      </c>
      <c r="M121" t="s">
        <v>194</v>
      </c>
      <c r="N121" t="s">
        <v>194</v>
      </c>
      <c r="O121">
        <v>4</v>
      </c>
      <c r="P121">
        <v>5</v>
      </c>
      <c r="Q121">
        <v>90</v>
      </c>
      <c r="AG121">
        <v>1</v>
      </c>
      <c r="AH121">
        <v>2</v>
      </c>
      <c r="AI121" t="s">
        <v>143</v>
      </c>
      <c r="AJ121" t="b">
        <v>1</v>
      </c>
    </row>
    <row r="122" spans="1:36" x14ac:dyDescent="0.3">
      <c r="A122" t="s">
        <v>305</v>
      </c>
      <c r="B122" t="s">
        <v>184</v>
      </c>
      <c r="F122">
        <v>50</v>
      </c>
      <c r="L122" t="s">
        <v>306</v>
      </c>
      <c r="M122" t="s">
        <v>194</v>
      </c>
      <c r="N122" t="s">
        <v>194</v>
      </c>
      <c r="O122">
        <v>6</v>
      </c>
      <c r="P122">
        <v>8</v>
      </c>
      <c r="Q122">
        <v>80</v>
      </c>
      <c r="R122">
        <v>5</v>
      </c>
      <c r="AG122">
        <v>1</v>
      </c>
      <c r="AH122">
        <v>2</v>
      </c>
      <c r="AI122" t="s">
        <v>149</v>
      </c>
      <c r="AJ122" t="b">
        <v>1</v>
      </c>
    </row>
    <row r="123" spans="1:36" x14ac:dyDescent="0.3">
      <c r="A123" t="s">
        <v>307</v>
      </c>
      <c r="B123" t="s">
        <v>184</v>
      </c>
      <c r="F123">
        <v>50</v>
      </c>
      <c r="H123" t="s">
        <v>301</v>
      </c>
      <c r="L123" t="s">
        <v>308</v>
      </c>
      <c r="M123" t="s">
        <v>194</v>
      </c>
      <c r="N123" t="s">
        <v>194</v>
      </c>
      <c r="O123">
        <v>10</v>
      </c>
      <c r="P123">
        <v>10</v>
      </c>
      <c r="Q123">
        <v>85</v>
      </c>
      <c r="AG123">
        <v>1</v>
      </c>
      <c r="AH123">
        <v>2</v>
      </c>
      <c r="AI123" t="s">
        <v>156</v>
      </c>
      <c r="AJ123" t="b">
        <v>1</v>
      </c>
    </row>
    <row r="124" spans="1:36" x14ac:dyDescent="0.3">
      <c r="A124" t="s">
        <v>309</v>
      </c>
      <c r="B124" t="s">
        <v>184</v>
      </c>
      <c r="F124">
        <v>50</v>
      </c>
      <c r="H124" t="s">
        <v>98</v>
      </c>
      <c r="L124" t="s">
        <v>310</v>
      </c>
      <c r="M124" t="s">
        <v>194</v>
      </c>
      <c r="N124" t="s">
        <v>194</v>
      </c>
      <c r="O124">
        <v>20</v>
      </c>
      <c r="P124">
        <v>12</v>
      </c>
      <c r="Q124">
        <v>60</v>
      </c>
      <c r="AE124" t="b">
        <v>1</v>
      </c>
      <c r="AG124">
        <v>3</v>
      </c>
      <c r="AH124">
        <v>10</v>
      </c>
      <c r="AI124" t="s">
        <v>167</v>
      </c>
      <c r="AJ124" t="b">
        <v>1</v>
      </c>
    </row>
    <row r="125" spans="1:36" x14ac:dyDescent="0.3">
      <c r="A125" t="s">
        <v>311</v>
      </c>
      <c r="B125" t="s">
        <v>184</v>
      </c>
      <c r="F125">
        <v>50</v>
      </c>
      <c r="H125" t="s">
        <v>98</v>
      </c>
      <c r="L125" t="s">
        <v>312</v>
      </c>
      <c r="M125" t="s">
        <v>194</v>
      </c>
      <c r="N125" t="s">
        <v>194</v>
      </c>
      <c r="O125">
        <v>12</v>
      </c>
      <c r="P125">
        <v>13</v>
      </c>
      <c r="Q125">
        <v>80</v>
      </c>
      <c r="AG125">
        <v>1</v>
      </c>
      <c r="AH125">
        <v>2</v>
      </c>
      <c r="AI125" t="s">
        <v>151</v>
      </c>
      <c r="AJ125" t="b">
        <v>1</v>
      </c>
    </row>
    <row r="126" spans="1:36" x14ac:dyDescent="0.3">
      <c r="A126" t="s">
        <v>313</v>
      </c>
      <c r="F126">
        <v>25</v>
      </c>
      <c r="H126" t="s">
        <v>162</v>
      </c>
      <c r="L126" t="s">
        <v>314</v>
      </c>
      <c r="M126" t="s">
        <v>194</v>
      </c>
      <c r="N126" t="s">
        <v>194</v>
      </c>
      <c r="O126">
        <v>13</v>
      </c>
      <c r="P126">
        <v>18</v>
      </c>
      <c r="Q126">
        <v>90</v>
      </c>
      <c r="R126">
        <v>10</v>
      </c>
      <c r="U126">
        <v>5</v>
      </c>
      <c r="Y126" t="s">
        <v>184</v>
      </c>
      <c r="AA126">
        <v>3</v>
      </c>
      <c r="AG126">
        <v>1</v>
      </c>
      <c r="AH126">
        <v>2</v>
      </c>
      <c r="AI126" t="s">
        <v>187</v>
      </c>
      <c r="AJ126" t="b">
        <v>1</v>
      </c>
    </row>
    <row r="127" spans="1:36" x14ac:dyDescent="0.3">
      <c r="A127" t="s">
        <v>315</v>
      </c>
      <c r="B127" t="s">
        <v>161</v>
      </c>
      <c r="F127">
        <v>25</v>
      </c>
      <c r="H127" t="s">
        <v>98</v>
      </c>
      <c r="L127" t="s">
        <v>316</v>
      </c>
      <c r="M127" t="s">
        <v>203</v>
      </c>
      <c r="N127" t="s">
        <v>203</v>
      </c>
      <c r="O127">
        <v>8</v>
      </c>
      <c r="P127">
        <v>7</v>
      </c>
      <c r="Q127">
        <v>80</v>
      </c>
      <c r="AG127">
        <v>1</v>
      </c>
      <c r="AH127">
        <v>2</v>
      </c>
      <c r="AI127" t="s">
        <v>149</v>
      </c>
      <c r="AJ127" t="b">
        <v>1</v>
      </c>
    </row>
    <row r="128" spans="1:36" x14ac:dyDescent="0.3">
      <c r="A128" t="s">
        <v>317</v>
      </c>
      <c r="F128">
        <v>25</v>
      </c>
      <c r="H128" t="s">
        <v>162</v>
      </c>
      <c r="L128" t="s">
        <v>318</v>
      </c>
      <c r="M128" t="s">
        <v>203</v>
      </c>
      <c r="N128" t="s">
        <v>203</v>
      </c>
      <c r="O128">
        <v>12</v>
      </c>
      <c r="Q128">
        <v>50</v>
      </c>
      <c r="R128">
        <v>10</v>
      </c>
      <c r="AD128" t="b">
        <v>1</v>
      </c>
      <c r="AG128">
        <v>1</v>
      </c>
      <c r="AH128">
        <v>2</v>
      </c>
      <c r="AI128" t="s">
        <v>156</v>
      </c>
      <c r="AJ128" t="b">
        <v>1</v>
      </c>
    </row>
    <row r="129" spans="1:41" x14ac:dyDescent="0.3">
      <c r="A129" t="s">
        <v>319</v>
      </c>
      <c r="F129">
        <v>25</v>
      </c>
      <c r="H129" t="s">
        <v>162</v>
      </c>
      <c r="L129" t="s">
        <v>320</v>
      </c>
      <c r="M129" t="s">
        <v>203</v>
      </c>
      <c r="N129" t="s">
        <v>203</v>
      </c>
      <c r="O129">
        <v>14</v>
      </c>
      <c r="P129">
        <v>10</v>
      </c>
      <c r="Q129">
        <v>70</v>
      </c>
      <c r="AG129">
        <v>1</v>
      </c>
      <c r="AH129">
        <v>2</v>
      </c>
      <c r="AI129" t="s">
        <v>156</v>
      </c>
      <c r="AJ129" t="b">
        <v>1</v>
      </c>
      <c r="AM129" t="b">
        <v>1</v>
      </c>
    </row>
    <row r="130" spans="1:41" x14ac:dyDescent="0.3">
      <c r="A130" t="s">
        <v>321</v>
      </c>
      <c r="B130" t="s">
        <v>184</v>
      </c>
      <c r="F130">
        <v>25</v>
      </c>
      <c r="H130" t="s">
        <v>184</v>
      </c>
      <c r="L130" t="s">
        <v>322</v>
      </c>
      <c r="M130" t="s">
        <v>203</v>
      </c>
      <c r="N130" t="s">
        <v>203</v>
      </c>
      <c r="O130">
        <v>12</v>
      </c>
      <c r="P130">
        <v>1000</v>
      </c>
      <c r="Q130">
        <v>30</v>
      </c>
      <c r="AD130" t="b">
        <v>1</v>
      </c>
      <c r="AE130" t="b">
        <v>1</v>
      </c>
      <c r="AF130" t="b">
        <v>1</v>
      </c>
      <c r="AG130">
        <v>3</v>
      </c>
      <c r="AH130">
        <v>10</v>
      </c>
      <c r="AI130" t="s">
        <v>167</v>
      </c>
      <c r="AJ130" t="b">
        <v>1</v>
      </c>
      <c r="AO130" t="s">
        <v>323</v>
      </c>
    </row>
    <row r="131" spans="1:41" x14ac:dyDescent="0.3">
      <c r="A131" t="s">
        <v>324</v>
      </c>
      <c r="B131" t="s">
        <v>161</v>
      </c>
      <c r="F131">
        <v>25</v>
      </c>
      <c r="H131" t="s">
        <v>98</v>
      </c>
      <c r="L131" t="s">
        <v>325</v>
      </c>
      <c r="M131" t="s">
        <v>203</v>
      </c>
      <c r="N131" t="s">
        <v>203</v>
      </c>
      <c r="O131">
        <v>18</v>
      </c>
      <c r="P131">
        <v>15</v>
      </c>
      <c r="Q131">
        <v>70</v>
      </c>
      <c r="AG131">
        <v>1</v>
      </c>
      <c r="AH131">
        <v>2</v>
      </c>
      <c r="AI131" t="s">
        <v>151</v>
      </c>
      <c r="AJ131" t="b">
        <v>1</v>
      </c>
    </row>
    <row r="132" spans="1:41" x14ac:dyDescent="0.3">
      <c r="A132" t="s">
        <v>326</v>
      </c>
      <c r="B132" t="s">
        <v>96</v>
      </c>
      <c r="F132">
        <v>25</v>
      </c>
      <c r="H132" t="s">
        <v>96</v>
      </c>
      <c r="L132" t="s">
        <v>327</v>
      </c>
      <c r="M132" t="s">
        <v>203</v>
      </c>
      <c r="N132" t="s">
        <v>203</v>
      </c>
      <c r="O132">
        <v>20</v>
      </c>
      <c r="P132">
        <v>23</v>
      </c>
      <c r="Q132">
        <v>80</v>
      </c>
      <c r="T132">
        <v>5</v>
      </c>
      <c r="Y132" t="s">
        <v>184</v>
      </c>
      <c r="AA132">
        <v>2</v>
      </c>
      <c r="AG132">
        <v>1</v>
      </c>
      <c r="AH132">
        <v>2</v>
      </c>
      <c r="AI132" t="s">
        <v>187</v>
      </c>
      <c r="AJ132" t="b">
        <v>1</v>
      </c>
    </row>
    <row r="133" spans="1:41" x14ac:dyDescent="0.3">
      <c r="A133" t="s">
        <v>328</v>
      </c>
      <c r="F133">
        <v>25</v>
      </c>
      <c r="H133" t="s">
        <v>203</v>
      </c>
      <c r="L133" t="s">
        <v>329</v>
      </c>
      <c r="M133" t="s">
        <v>203</v>
      </c>
      <c r="N133" t="s">
        <v>203</v>
      </c>
      <c r="O133">
        <v>18</v>
      </c>
      <c r="P133">
        <v>25</v>
      </c>
      <c r="Q133">
        <v>95</v>
      </c>
      <c r="AG133">
        <v>1</v>
      </c>
      <c r="AH133">
        <v>2</v>
      </c>
      <c r="AI133" t="s">
        <v>187</v>
      </c>
      <c r="AJ133" t="b">
        <v>1</v>
      </c>
    </row>
    <row r="134" spans="1:41" x14ac:dyDescent="0.3">
      <c r="A134" t="s">
        <v>330</v>
      </c>
      <c r="B134" t="s">
        <v>147</v>
      </c>
      <c r="F134">
        <v>25</v>
      </c>
      <c r="H134" t="s">
        <v>96</v>
      </c>
      <c r="I134" t="s">
        <v>98</v>
      </c>
      <c r="L134" t="s">
        <v>331</v>
      </c>
      <c r="M134" t="s">
        <v>200</v>
      </c>
      <c r="N134" t="s">
        <v>200</v>
      </c>
      <c r="O134">
        <v>6</v>
      </c>
      <c r="P134">
        <v>4</v>
      </c>
      <c r="Q134">
        <v>95</v>
      </c>
      <c r="R134">
        <v>5</v>
      </c>
      <c r="AG134">
        <v>1</v>
      </c>
      <c r="AH134">
        <v>2</v>
      </c>
      <c r="AI134" t="s">
        <v>143</v>
      </c>
      <c r="AJ134" t="b">
        <v>1</v>
      </c>
    </row>
    <row r="135" spans="1:41" x14ac:dyDescent="0.3">
      <c r="A135" t="s">
        <v>332</v>
      </c>
      <c r="B135" t="s">
        <v>161</v>
      </c>
      <c r="F135">
        <v>25</v>
      </c>
      <c r="G135" t="s">
        <v>169</v>
      </c>
      <c r="H135" t="s">
        <v>98</v>
      </c>
      <c r="L135" t="s">
        <v>333</v>
      </c>
      <c r="M135" t="s">
        <v>200</v>
      </c>
      <c r="N135" t="s">
        <v>200</v>
      </c>
      <c r="O135">
        <v>8</v>
      </c>
      <c r="P135">
        <v>6</v>
      </c>
      <c r="Q135">
        <v>90</v>
      </c>
      <c r="R135">
        <v>8</v>
      </c>
      <c r="AG135">
        <v>1</v>
      </c>
      <c r="AH135">
        <v>2</v>
      </c>
      <c r="AI135" t="s">
        <v>149</v>
      </c>
      <c r="AJ135" t="b">
        <v>1</v>
      </c>
    </row>
    <row r="136" spans="1:41" x14ac:dyDescent="0.3">
      <c r="A136" t="s">
        <v>334</v>
      </c>
      <c r="F136">
        <v>25</v>
      </c>
      <c r="H136" t="s">
        <v>162</v>
      </c>
      <c r="I136" t="s">
        <v>102</v>
      </c>
      <c r="L136" t="s">
        <v>335</v>
      </c>
      <c r="M136" t="s">
        <v>200</v>
      </c>
      <c r="N136" t="s">
        <v>200</v>
      </c>
      <c r="O136">
        <v>12</v>
      </c>
      <c r="P136">
        <v>8</v>
      </c>
      <c r="Q136">
        <v>85</v>
      </c>
      <c r="R136">
        <v>10</v>
      </c>
      <c r="AG136">
        <v>1</v>
      </c>
      <c r="AH136">
        <v>2</v>
      </c>
      <c r="AI136" t="s">
        <v>156</v>
      </c>
      <c r="AJ136" t="b">
        <v>1</v>
      </c>
    </row>
    <row r="137" spans="1:41" x14ac:dyDescent="0.3">
      <c r="A137" t="s">
        <v>336</v>
      </c>
      <c r="F137">
        <v>25</v>
      </c>
      <c r="H137" t="s">
        <v>200</v>
      </c>
      <c r="L137" t="s">
        <v>337</v>
      </c>
      <c r="M137" t="s">
        <v>200</v>
      </c>
      <c r="N137" t="s">
        <v>200</v>
      </c>
      <c r="O137">
        <v>20</v>
      </c>
      <c r="P137">
        <v>10</v>
      </c>
      <c r="Q137">
        <v>75</v>
      </c>
      <c r="R137">
        <v>5</v>
      </c>
      <c r="AE137" t="b">
        <v>1</v>
      </c>
      <c r="AG137">
        <v>3</v>
      </c>
      <c r="AH137">
        <v>10</v>
      </c>
      <c r="AI137" t="s">
        <v>167</v>
      </c>
      <c r="AJ137" t="b">
        <v>1</v>
      </c>
    </row>
    <row r="138" spans="1:41" x14ac:dyDescent="0.3">
      <c r="A138" t="s">
        <v>338</v>
      </c>
      <c r="B138" t="s">
        <v>184</v>
      </c>
      <c r="F138">
        <v>25</v>
      </c>
      <c r="H138" t="s">
        <v>96</v>
      </c>
      <c r="L138" t="s">
        <v>339</v>
      </c>
      <c r="M138" t="s">
        <v>200</v>
      </c>
      <c r="N138" t="s">
        <v>200</v>
      </c>
      <c r="O138">
        <v>15</v>
      </c>
      <c r="P138">
        <v>12</v>
      </c>
      <c r="Q138">
        <v>85</v>
      </c>
      <c r="R138">
        <v>15</v>
      </c>
      <c r="AG138">
        <v>1</v>
      </c>
      <c r="AH138">
        <v>2</v>
      </c>
      <c r="AI138" t="s">
        <v>151</v>
      </c>
      <c r="AJ138" t="b">
        <v>1</v>
      </c>
    </row>
    <row r="139" spans="1:41" x14ac:dyDescent="0.3">
      <c r="A139" t="s">
        <v>340</v>
      </c>
      <c r="B139" t="s">
        <v>184</v>
      </c>
      <c r="F139">
        <v>25</v>
      </c>
      <c r="H139" t="s">
        <v>162</v>
      </c>
      <c r="I139" t="s">
        <v>102</v>
      </c>
      <c r="L139" t="s">
        <v>341</v>
      </c>
      <c r="M139" t="s">
        <v>200</v>
      </c>
      <c r="N139" t="s">
        <v>200</v>
      </c>
      <c r="O139">
        <v>10</v>
      </c>
      <c r="P139">
        <v>17</v>
      </c>
      <c r="Q139">
        <v>90</v>
      </c>
      <c r="R139">
        <v>5</v>
      </c>
      <c r="W139">
        <v>5</v>
      </c>
      <c r="Y139" t="s">
        <v>184</v>
      </c>
      <c r="AA139">
        <v>2</v>
      </c>
      <c r="AG139">
        <v>1</v>
      </c>
      <c r="AH139">
        <v>2</v>
      </c>
      <c r="AI139" t="s">
        <v>187</v>
      </c>
      <c r="AJ139" t="b">
        <v>1</v>
      </c>
    </row>
    <row r="140" spans="1:41" x14ac:dyDescent="0.3">
      <c r="A140" t="s">
        <v>342</v>
      </c>
      <c r="B140" t="s">
        <v>147</v>
      </c>
      <c r="C140" t="s">
        <v>161</v>
      </c>
      <c r="F140">
        <v>25</v>
      </c>
      <c r="H140" t="s">
        <v>96</v>
      </c>
      <c r="I140" t="s">
        <v>98</v>
      </c>
      <c r="J140" t="s">
        <v>162</v>
      </c>
      <c r="L140" t="s">
        <v>247</v>
      </c>
      <c r="M140" t="s">
        <v>247</v>
      </c>
      <c r="P140">
        <v>16</v>
      </c>
      <c r="Q140">
        <v>100</v>
      </c>
      <c r="R140">
        <v>15</v>
      </c>
      <c r="S140">
        <v>12</v>
      </c>
      <c r="T140">
        <v>12</v>
      </c>
      <c r="W140">
        <v>15</v>
      </c>
      <c r="X140">
        <v>20</v>
      </c>
      <c r="Y140" t="s">
        <v>184</v>
      </c>
      <c r="AA140">
        <v>3</v>
      </c>
      <c r="AG140">
        <v>1</v>
      </c>
      <c r="AH140">
        <v>1</v>
      </c>
      <c r="AI140" t="s">
        <v>136</v>
      </c>
    </row>
    <row r="141" spans="1:41" x14ac:dyDescent="0.3">
      <c r="A141" t="s">
        <v>343</v>
      </c>
      <c r="F141">
        <v>25</v>
      </c>
      <c r="H141" t="s">
        <v>194</v>
      </c>
      <c r="I141" t="s">
        <v>200</v>
      </c>
      <c r="L141" t="s">
        <v>250</v>
      </c>
      <c r="M141" t="s">
        <v>250</v>
      </c>
      <c r="P141">
        <v>10</v>
      </c>
      <c r="Q141">
        <v>100</v>
      </c>
      <c r="S141">
        <v>10</v>
      </c>
      <c r="T141">
        <v>10</v>
      </c>
      <c r="W141">
        <v>20</v>
      </c>
      <c r="X141">
        <v>10</v>
      </c>
      <c r="AD141" t="b">
        <v>1</v>
      </c>
      <c r="AG141">
        <v>1</v>
      </c>
      <c r="AH141">
        <v>2</v>
      </c>
      <c r="AI141" t="s">
        <v>136</v>
      </c>
    </row>
    <row r="142" spans="1:41" x14ac:dyDescent="0.3">
      <c r="A142" t="s">
        <v>344</v>
      </c>
      <c r="B142" t="s">
        <v>96</v>
      </c>
      <c r="E142">
        <v>15</v>
      </c>
      <c r="F142">
        <v>25</v>
      </c>
      <c r="H142" t="s">
        <v>96</v>
      </c>
      <c r="L142" t="s">
        <v>345</v>
      </c>
      <c r="M142" t="s">
        <v>345</v>
      </c>
      <c r="P142">
        <v>15</v>
      </c>
      <c r="Q142">
        <v>60</v>
      </c>
      <c r="S142">
        <v>10</v>
      </c>
      <c r="T142">
        <v>10</v>
      </c>
      <c r="V142">
        <v>10</v>
      </c>
      <c r="W142">
        <v>10</v>
      </c>
      <c r="X142">
        <v>15</v>
      </c>
      <c r="AG142">
        <v>1</v>
      </c>
      <c r="AH142">
        <v>3</v>
      </c>
      <c r="AI142" t="s">
        <v>136</v>
      </c>
      <c r="AJ142" t="b">
        <v>1</v>
      </c>
    </row>
    <row r="143" spans="1:41" x14ac:dyDescent="0.3">
      <c r="A143" t="s">
        <v>346</v>
      </c>
      <c r="F143">
        <v>25</v>
      </c>
      <c r="H143" t="s">
        <v>162</v>
      </c>
      <c r="L143" t="s">
        <v>347</v>
      </c>
      <c r="M143" t="s">
        <v>347</v>
      </c>
      <c r="P143">
        <v>15</v>
      </c>
      <c r="Q143">
        <v>85</v>
      </c>
      <c r="R143">
        <v>10</v>
      </c>
      <c r="S143">
        <v>15</v>
      </c>
      <c r="T143">
        <v>15</v>
      </c>
      <c r="W143">
        <v>15</v>
      </c>
      <c r="X143">
        <v>10</v>
      </c>
      <c r="AG143">
        <v>1</v>
      </c>
      <c r="AH143">
        <v>1</v>
      </c>
      <c r="AI143" t="s">
        <v>136</v>
      </c>
    </row>
    <row r="144" spans="1:41" x14ac:dyDescent="0.3">
      <c r="A144" t="s">
        <v>348</v>
      </c>
      <c r="B144" t="s">
        <v>147</v>
      </c>
      <c r="F144">
        <v>25</v>
      </c>
      <c r="H144" t="s">
        <v>96</v>
      </c>
      <c r="I144" t="s">
        <v>102</v>
      </c>
      <c r="L144" t="s">
        <v>349</v>
      </c>
      <c r="M144" t="s">
        <v>301</v>
      </c>
      <c r="N144" t="s">
        <v>203</v>
      </c>
      <c r="O144">
        <v>10</v>
      </c>
      <c r="P144">
        <v>11</v>
      </c>
      <c r="Q144">
        <v>80</v>
      </c>
      <c r="AG144">
        <v>1</v>
      </c>
      <c r="AH144">
        <v>2</v>
      </c>
      <c r="AI144" t="s">
        <v>136</v>
      </c>
      <c r="AJ144" t="b">
        <v>1</v>
      </c>
    </row>
    <row r="145" spans="1:41" x14ac:dyDescent="0.3">
      <c r="A145" t="s">
        <v>350</v>
      </c>
      <c r="B145" t="s">
        <v>184</v>
      </c>
      <c r="C145" t="s">
        <v>191</v>
      </c>
      <c r="F145">
        <v>25</v>
      </c>
      <c r="H145" t="s">
        <v>98</v>
      </c>
      <c r="L145" t="s">
        <v>351</v>
      </c>
      <c r="M145" t="s">
        <v>301</v>
      </c>
      <c r="N145" t="s">
        <v>203</v>
      </c>
      <c r="O145">
        <v>20</v>
      </c>
      <c r="P145">
        <v>13</v>
      </c>
      <c r="Q145">
        <v>70</v>
      </c>
      <c r="R145">
        <v>5</v>
      </c>
      <c r="AE145" t="b">
        <v>1</v>
      </c>
      <c r="AG145">
        <v>3</v>
      </c>
      <c r="AH145">
        <v>10</v>
      </c>
      <c r="AI145" t="s">
        <v>136</v>
      </c>
      <c r="AJ145" t="b">
        <v>1</v>
      </c>
    </row>
    <row r="146" spans="1:41" x14ac:dyDescent="0.3">
      <c r="A146" t="s">
        <v>352</v>
      </c>
      <c r="B146" t="s">
        <v>184</v>
      </c>
      <c r="F146">
        <v>25</v>
      </c>
      <c r="H146" t="s">
        <v>162</v>
      </c>
      <c r="L146" t="s">
        <v>353</v>
      </c>
      <c r="M146" t="s">
        <v>278</v>
      </c>
      <c r="O146">
        <v>14</v>
      </c>
      <c r="P146">
        <v>14</v>
      </c>
      <c r="Q146">
        <v>65</v>
      </c>
      <c r="AG146">
        <v>1</v>
      </c>
      <c r="AH146">
        <v>1</v>
      </c>
      <c r="AI146" t="s">
        <v>136</v>
      </c>
    </row>
    <row r="147" spans="1:41" x14ac:dyDescent="0.3">
      <c r="A147" t="s">
        <v>354</v>
      </c>
      <c r="B147" t="s">
        <v>147</v>
      </c>
      <c r="F147">
        <v>25</v>
      </c>
      <c r="H147" t="s">
        <v>194</v>
      </c>
      <c r="I147" t="s">
        <v>200</v>
      </c>
      <c r="L147" t="s">
        <v>355</v>
      </c>
      <c r="M147" t="s">
        <v>278</v>
      </c>
      <c r="O147">
        <v>8</v>
      </c>
      <c r="P147">
        <v>7</v>
      </c>
      <c r="Q147">
        <v>80</v>
      </c>
      <c r="AG147">
        <v>1</v>
      </c>
      <c r="AH147">
        <v>1</v>
      </c>
      <c r="AI147" t="s">
        <v>136</v>
      </c>
    </row>
    <row r="148" spans="1:41" x14ac:dyDescent="0.3">
      <c r="A148" t="s">
        <v>356</v>
      </c>
      <c r="B148" t="s">
        <v>161</v>
      </c>
      <c r="F148">
        <v>25</v>
      </c>
      <c r="G148" t="s">
        <v>169</v>
      </c>
      <c r="H148" t="s">
        <v>98</v>
      </c>
      <c r="L148" t="s">
        <v>357</v>
      </c>
      <c r="M148" t="s">
        <v>278</v>
      </c>
      <c r="O148">
        <v>10</v>
      </c>
      <c r="P148">
        <v>12</v>
      </c>
      <c r="Q148">
        <v>75</v>
      </c>
      <c r="AG148">
        <v>1</v>
      </c>
      <c r="AH148">
        <v>1</v>
      </c>
      <c r="AI148" t="s">
        <v>136</v>
      </c>
    </row>
    <row r="149" spans="1:41" x14ac:dyDescent="0.3">
      <c r="A149" t="s">
        <v>358</v>
      </c>
      <c r="B149" t="s">
        <v>96</v>
      </c>
      <c r="F149">
        <v>25</v>
      </c>
      <c r="H149" t="s">
        <v>162</v>
      </c>
      <c r="L149" t="s">
        <v>359</v>
      </c>
      <c r="M149" t="s">
        <v>278</v>
      </c>
      <c r="O149">
        <v>10</v>
      </c>
      <c r="P149">
        <v>6</v>
      </c>
      <c r="Q149">
        <v>65</v>
      </c>
      <c r="AG149">
        <v>1</v>
      </c>
      <c r="AH149">
        <v>1</v>
      </c>
      <c r="AI149" t="s">
        <v>136</v>
      </c>
    </row>
    <row r="150" spans="1:41" x14ac:dyDescent="0.3">
      <c r="A150" t="s">
        <v>360</v>
      </c>
      <c r="B150" t="s">
        <v>361</v>
      </c>
      <c r="C150" t="s">
        <v>177</v>
      </c>
      <c r="F150">
        <v>25</v>
      </c>
      <c r="H150" t="s">
        <v>98</v>
      </c>
      <c r="L150" t="s">
        <v>362</v>
      </c>
      <c r="M150" t="s">
        <v>278</v>
      </c>
      <c r="O150">
        <v>12</v>
      </c>
      <c r="P150">
        <v>10</v>
      </c>
      <c r="Q150">
        <v>60</v>
      </c>
      <c r="AG150">
        <v>1</v>
      </c>
      <c r="AH150">
        <v>1</v>
      </c>
      <c r="AI150" t="s">
        <v>136</v>
      </c>
    </row>
    <row r="151" spans="1:41" x14ac:dyDescent="0.3">
      <c r="A151" t="s">
        <v>363</v>
      </c>
      <c r="B151" t="s">
        <v>147</v>
      </c>
      <c r="F151">
        <v>25</v>
      </c>
      <c r="G151" t="s">
        <v>204</v>
      </c>
      <c r="H151" t="s">
        <v>96</v>
      </c>
      <c r="I151" t="s">
        <v>98</v>
      </c>
      <c r="L151" t="s">
        <v>364</v>
      </c>
      <c r="M151" t="s">
        <v>291</v>
      </c>
      <c r="O151">
        <v>5</v>
      </c>
      <c r="P151">
        <v>5</v>
      </c>
      <c r="Q151">
        <v>90</v>
      </c>
      <c r="AG151">
        <v>1</v>
      </c>
      <c r="AH151">
        <v>1</v>
      </c>
      <c r="AI151" t="s">
        <v>136</v>
      </c>
    </row>
    <row r="152" spans="1:41" x14ac:dyDescent="0.3">
      <c r="A152" t="s">
        <v>365</v>
      </c>
      <c r="F152">
        <v>25</v>
      </c>
      <c r="H152" t="s">
        <v>203</v>
      </c>
      <c r="L152" t="s">
        <v>366</v>
      </c>
      <c r="M152" t="s">
        <v>291</v>
      </c>
      <c r="O152">
        <v>8</v>
      </c>
      <c r="P152">
        <v>13</v>
      </c>
      <c r="Q152">
        <v>80</v>
      </c>
      <c r="AG152">
        <v>1</v>
      </c>
      <c r="AH152">
        <v>1</v>
      </c>
      <c r="AI152" t="s">
        <v>136</v>
      </c>
    </row>
    <row r="153" spans="1:41" x14ac:dyDescent="0.3">
      <c r="A153" t="s">
        <v>367</v>
      </c>
      <c r="B153" t="s">
        <v>184</v>
      </c>
      <c r="F153">
        <v>25</v>
      </c>
      <c r="H153" t="s">
        <v>203</v>
      </c>
      <c r="L153" t="s">
        <v>368</v>
      </c>
      <c r="M153" t="s">
        <v>300</v>
      </c>
      <c r="N153" t="s">
        <v>203</v>
      </c>
      <c r="O153">
        <v>6</v>
      </c>
      <c r="P153">
        <v>7</v>
      </c>
      <c r="Q153">
        <v>85</v>
      </c>
      <c r="AG153">
        <v>1</v>
      </c>
      <c r="AH153">
        <v>2</v>
      </c>
      <c r="AI153" t="s">
        <v>136</v>
      </c>
      <c r="AJ153" t="b">
        <v>1</v>
      </c>
    </row>
    <row r="154" spans="1:41" x14ac:dyDescent="0.3">
      <c r="A154" t="s">
        <v>369</v>
      </c>
      <c r="F154">
        <v>25</v>
      </c>
      <c r="G154" t="s">
        <v>220</v>
      </c>
      <c r="H154" t="s">
        <v>200</v>
      </c>
      <c r="L154" t="s">
        <v>370</v>
      </c>
      <c r="M154" t="s">
        <v>300</v>
      </c>
      <c r="N154" t="s">
        <v>203</v>
      </c>
      <c r="O154">
        <v>13</v>
      </c>
      <c r="P154">
        <v>14</v>
      </c>
      <c r="Q154">
        <v>70</v>
      </c>
      <c r="R154">
        <v>5</v>
      </c>
      <c r="AG154">
        <v>1</v>
      </c>
      <c r="AH154">
        <v>2</v>
      </c>
      <c r="AI154" t="s">
        <v>136</v>
      </c>
      <c r="AJ154" t="b">
        <v>1</v>
      </c>
    </row>
    <row r="155" spans="1:41" x14ac:dyDescent="0.3">
      <c r="A155" t="s">
        <v>371</v>
      </c>
      <c r="B155" t="s">
        <v>184</v>
      </c>
      <c r="C155" t="s">
        <v>191</v>
      </c>
      <c r="D155" t="s">
        <v>177</v>
      </c>
      <c r="F155">
        <v>25</v>
      </c>
      <c r="H155" t="s">
        <v>250</v>
      </c>
      <c r="L155" t="s">
        <v>372</v>
      </c>
      <c r="M155" t="s">
        <v>209</v>
      </c>
      <c r="O155">
        <v>1000</v>
      </c>
      <c r="P155">
        <v>-10</v>
      </c>
      <c r="Q155">
        <v>1000</v>
      </c>
      <c r="AD155" t="b">
        <v>1</v>
      </c>
      <c r="AE155" t="b">
        <v>1</v>
      </c>
      <c r="AF155" t="b">
        <v>1</v>
      </c>
      <c r="AG155">
        <v>1</v>
      </c>
      <c r="AH155">
        <v>1</v>
      </c>
      <c r="AO155" t="s">
        <v>373</v>
      </c>
    </row>
    <row r="156" spans="1:41" x14ac:dyDescent="0.3">
      <c r="A156" t="s">
        <v>374</v>
      </c>
      <c r="F156">
        <v>0</v>
      </c>
      <c r="H156" t="s">
        <v>203</v>
      </c>
      <c r="L156" t="s">
        <v>375</v>
      </c>
      <c r="M156" t="s">
        <v>209</v>
      </c>
      <c r="O156">
        <v>1000</v>
      </c>
      <c r="P156">
        <v>-20</v>
      </c>
      <c r="Q156">
        <v>1000</v>
      </c>
      <c r="AD156" t="b">
        <v>1</v>
      </c>
      <c r="AE156" t="b">
        <v>1</v>
      </c>
      <c r="AF156" t="b">
        <v>1</v>
      </c>
      <c r="AG156">
        <v>1</v>
      </c>
      <c r="AH156">
        <v>1</v>
      </c>
      <c r="AO156" t="s">
        <v>376</v>
      </c>
    </row>
    <row r="157" spans="1:41" x14ac:dyDescent="0.3">
      <c r="A157" t="s">
        <v>377</v>
      </c>
      <c r="B157" t="s">
        <v>184</v>
      </c>
      <c r="F157">
        <v>0</v>
      </c>
      <c r="H157" t="s">
        <v>345</v>
      </c>
      <c r="I157" t="s">
        <v>347</v>
      </c>
      <c r="L157" t="s">
        <v>378</v>
      </c>
      <c r="M157" t="s">
        <v>209</v>
      </c>
      <c r="O157">
        <v>1000</v>
      </c>
      <c r="P157">
        <v>-80</v>
      </c>
      <c r="Q157">
        <v>1000</v>
      </c>
      <c r="AD157" t="b">
        <v>1</v>
      </c>
      <c r="AE157" t="b">
        <v>1</v>
      </c>
      <c r="AF157" t="b">
        <v>1</v>
      </c>
      <c r="AG157">
        <v>1</v>
      </c>
      <c r="AH157">
        <v>1</v>
      </c>
      <c r="AO157" t="s">
        <v>376</v>
      </c>
    </row>
    <row r="158" spans="1:41" x14ac:dyDescent="0.3">
      <c r="L158" t="s">
        <v>379</v>
      </c>
      <c r="M158" t="s">
        <v>209</v>
      </c>
      <c r="O158">
        <v>1000</v>
      </c>
      <c r="P158">
        <v>-10</v>
      </c>
      <c r="Q158">
        <v>1000</v>
      </c>
      <c r="AD158" t="b">
        <v>1</v>
      </c>
      <c r="AE158" t="b">
        <v>1</v>
      </c>
      <c r="AF158" t="b">
        <v>1</v>
      </c>
      <c r="AG158">
        <v>1</v>
      </c>
      <c r="AH158" t="s">
        <v>380</v>
      </c>
      <c r="AO158" t="s">
        <v>376</v>
      </c>
    </row>
    <row r="159" spans="1:41" x14ac:dyDescent="0.3">
      <c r="A159" t="s">
        <v>209</v>
      </c>
      <c r="B159" t="s">
        <v>372</v>
      </c>
      <c r="F159" t="s">
        <v>65</v>
      </c>
      <c r="G159" t="s">
        <v>87</v>
      </c>
      <c r="H159" t="s">
        <v>381</v>
      </c>
      <c r="I159" t="s">
        <v>88</v>
      </c>
      <c r="J159" t="s">
        <v>382</v>
      </c>
      <c r="L159" t="s">
        <v>383</v>
      </c>
      <c r="M159" t="s">
        <v>209</v>
      </c>
      <c r="O159">
        <v>1000</v>
      </c>
      <c r="P159">
        <v>-10</v>
      </c>
      <c r="Q159">
        <v>1000</v>
      </c>
      <c r="AD159" t="b">
        <v>1</v>
      </c>
      <c r="AE159" t="b">
        <v>1</v>
      </c>
      <c r="AF159" t="b">
        <v>1</v>
      </c>
      <c r="AG159">
        <v>1</v>
      </c>
      <c r="AH159" t="s">
        <v>380</v>
      </c>
      <c r="AO159" t="s">
        <v>376</v>
      </c>
    </row>
    <row r="160" spans="1:41" x14ac:dyDescent="0.3">
      <c r="A160" t="s">
        <v>372</v>
      </c>
      <c r="B160" t="s">
        <v>384</v>
      </c>
      <c r="F160" t="s">
        <v>56</v>
      </c>
      <c r="L160" t="s">
        <v>385</v>
      </c>
      <c r="M160" t="s">
        <v>209</v>
      </c>
      <c r="O160">
        <v>1000</v>
      </c>
      <c r="P160">
        <v>-120</v>
      </c>
      <c r="Q160">
        <v>1000</v>
      </c>
      <c r="S160">
        <v>-1000</v>
      </c>
      <c r="AD160" t="b">
        <v>1</v>
      </c>
      <c r="AE160" t="b">
        <v>1</v>
      </c>
      <c r="AF160" t="b">
        <v>1</v>
      </c>
      <c r="AG160">
        <v>1</v>
      </c>
      <c r="AH160" t="s">
        <v>380</v>
      </c>
      <c r="AO160" t="s">
        <v>376</v>
      </c>
    </row>
    <row r="161" spans="1:41" x14ac:dyDescent="0.3">
      <c r="A161" t="s">
        <v>375</v>
      </c>
      <c r="B161" t="s">
        <v>386</v>
      </c>
      <c r="F161" t="s">
        <v>53</v>
      </c>
      <c r="H161">
        <v>5</v>
      </c>
      <c r="L161" t="s">
        <v>387</v>
      </c>
      <c r="M161" t="s">
        <v>388</v>
      </c>
      <c r="O161">
        <v>1000</v>
      </c>
      <c r="P161">
        <v>-10</v>
      </c>
      <c r="Q161">
        <v>1000</v>
      </c>
      <c r="S161">
        <v>-1000</v>
      </c>
      <c r="AD161" t="b">
        <v>1</v>
      </c>
      <c r="AE161" t="b">
        <v>1</v>
      </c>
      <c r="AF161" t="b">
        <v>1</v>
      </c>
      <c r="AG161">
        <v>0</v>
      </c>
      <c r="AH161">
        <v>0</v>
      </c>
      <c r="AO161" t="s">
        <v>376</v>
      </c>
    </row>
    <row r="162" spans="1:41" x14ac:dyDescent="0.3">
      <c r="A162" t="s">
        <v>378</v>
      </c>
      <c r="B162" t="s">
        <v>389</v>
      </c>
      <c r="F162" t="s">
        <v>390</v>
      </c>
      <c r="H162">
        <v>10</v>
      </c>
      <c r="L162" t="s">
        <v>391</v>
      </c>
      <c r="M162" t="s">
        <v>388</v>
      </c>
      <c r="O162">
        <v>1000</v>
      </c>
      <c r="P162">
        <v>-120</v>
      </c>
      <c r="Q162">
        <v>1000</v>
      </c>
      <c r="S162">
        <v>-1000</v>
      </c>
      <c r="AD162" t="b">
        <v>1</v>
      </c>
      <c r="AE162" t="b">
        <v>1</v>
      </c>
      <c r="AF162" t="b">
        <v>1</v>
      </c>
      <c r="AG162">
        <v>0</v>
      </c>
      <c r="AH162">
        <v>0</v>
      </c>
      <c r="AO162" t="s">
        <v>376</v>
      </c>
    </row>
    <row r="163" spans="1:41" x14ac:dyDescent="0.3">
      <c r="A163" t="s">
        <v>379</v>
      </c>
      <c r="B163" t="s">
        <v>384</v>
      </c>
      <c r="F163" t="s">
        <v>60</v>
      </c>
      <c r="G163">
        <v>1</v>
      </c>
      <c r="H163">
        <v>20</v>
      </c>
      <c r="L163" t="s">
        <v>65</v>
      </c>
      <c r="M163" t="s">
        <v>65</v>
      </c>
      <c r="O163">
        <v>1000</v>
      </c>
      <c r="Q163">
        <v>1000</v>
      </c>
      <c r="S163">
        <v>-1000</v>
      </c>
      <c r="AD163" t="b">
        <v>1</v>
      </c>
      <c r="AE163" t="b">
        <v>1</v>
      </c>
      <c r="AF163" t="b">
        <v>1</v>
      </c>
      <c r="AG163">
        <v>0</v>
      </c>
      <c r="AH163">
        <v>0</v>
      </c>
      <c r="AO163" t="s">
        <v>376</v>
      </c>
    </row>
    <row r="164" spans="1:41" x14ac:dyDescent="0.3">
      <c r="A164" t="s">
        <v>392</v>
      </c>
      <c r="B164" t="s">
        <v>384</v>
      </c>
      <c r="F164" t="s">
        <v>393</v>
      </c>
      <c r="G164">
        <v>1</v>
      </c>
      <c r="H164">
        <v>30</v>
      </c>
      <c r="AA164" t="s">
        <v>394</v>
      </c>
    </row>
    <row r="165" spans="1:41" x14ac:dyDescent="0.3">
      <c r="A165" t="s">
        <v>385</v>
      </c>
      <c r="B165" t="s">
        <v>395</v>
      </c>
      <c r="F165" t="s">
        <v>396</v>
      </c>
      <c r="G165">
        <v>2</v>
      </c>
      <c r="H165">
        <v>40</v>
      </c>
      <c r="AA165" t="s">
        <v>394</v>
      </c>
    </row>
    <row r="166" spans="1:41" x14ac:dyDescent="0.3">
      <c r="F166" t="s">
        <v>397</v>
      </c>
      <c r="G166">
        <v>2</v>
      </c>
      <c r="H166">
        <v>20</v>
      </c>
      <c r="J166">
        <v>20</v>
      </c>
      <c r="AA166" t="s">
        <v>394</v>
      </c>
    </row>
    <row r="167" spans="1:41" x14ac:dyDescent="0.3">
      <c r="A167" t="s">
        <v>121</v>
      </c>
      <c r="B167" t="s">
        <v>398</v>
      </c>
      <c r="C167" t="s">
        <v>399</v>
      </c>
      <c r="F167" t="s">
        <v>400</v>
      </c>
      <c r="G167">
        <v>3</v>
      </c>
      <c r="H167">
        <v>20</v>
      </c>
      <c r="J167">
        <v>10</v>
      </c>
      <c r="AA167" t="s">
        <v>394</v>
      </c>
    </row>
    <row r="168" spans="1:41" x14ac:dyDescent="0.3">
      <c r="A168" t="s">
        <v>96</v>
      </c>
      <c r="B168" t="s">
        <v>162</v>
      </c>
      <c r="C168" t="s">
        <v>98</v>
      </c>
      <c r="F168" t="s">
        <v>401</v>
      </c>
      <c r="G168">
        <v>3</v>
      </c>
      <c r="H168">
        <v>30</v>
      </c>
      <c r="J168">
        <v>10</v>
      </c>
      <c r="AA168" t="s">
        <v>394</v>
      </c>
    </row>
    <row r="169" spans="1:41" x14ac:dyDescent="0.3">
      <c r="A169" t="s">
        <v>98</v>
      </c>
      <c r="B169" t="s">
        <v>96</v>
      </c>
      <c r="C169" t="s">
        <v>162</v>
      </c>
      <c r="F169" t="s">
        <v>63</v>
      </c>
      <c r="G169">
        <v>3</v>
      </c>
      <c r="H169">
        <v>30</v>
      </c>
      <c r="I169">
        <v>5</v>
      </c>
      <c r="J169">
        <v>10</v>
      </c>
      <c r="AA169" t="s">
        <v>394</v>
      </c>
    </row>
    <row r="170" spans="1:41" x14ac:dyDescent="0.3">
      <c r="A170" t="s">
        <v>162</v>
      </c>
      <c r="B170" t="s">
        <v>98</v>
      </c>
      <c r="C170" t="s">
        <v>96</v>
      </c>
      <c r="AA170" t="s">
        <v>394</v>
      </c>
    </row>
    <row r="171" spans="1:41" x14ac:dyDescent="0.3">
      <c r="A171" t="s">
        <v>194</v>
      </c>
      <c r="B171" t="s">
        <v>200</v>
      </c>
      <c r="C171" t="s">
        <v>203</v>
      </c>
      <c r="AA171" t="s">
        <v>394</v>
      </c>
    </row>
    <row r="172" spans="1:41" x14ac:dyDescent="0.3">
      <c r="A172" t="s">
        <v>203</v>
      </c>
      <c r="B172" t="s">
        <v>194</v>
      </c>
      <c r="C172" t="s">
        <v>200</v>
      </c>
      <c r="M172" cm="1">
        <f t="array" ref="M172">IFERROR(MATCH(O172,N172:N175,0), SUM(_xlfn.SEQUENCE(ROW(N172:N175))))</f>
        <v>4</v>
      </c>
      <c r="AA172" t="s">
        <v>394</v>
      </c>
    </row>
    <row r="173" spans="1:41" x14ac:dyDescent="0.3">
      <c r="A173" t="s">
        <v>200</v>
      </c>
      <c r="B173" t="s">
        <v>203</v>
      </c>
      <c r="C173" t="s">
        <v>194</v>
      </c>
      <c r="N173">
        <v>1</v>
      </c>
      <c r="AA173" t="s">
        <v>394</v>
      </c>
    </row>
    <row r="174" spans="1:41" x14ac:dyDescent="0.3">
      <c r="N174">
        <v>2</v>
      </c>
      <c r="AA174" t="s">
        <v>394</v>
      </c>
    </row>
    <row r="175" spans="1:41" x14ac:dyDescent="0.3">
      <c r="N175">
        <v>3</v>
      </c>
      <c r="AA175" t="s">
        <v>394</v>
      </c>
    </row>
    <row r="176" spans="1:41" x14ac:dyDescent="0.3">
      <c r="AA176" t="s">
        <v>394</v>
      </c>
    </row>
    <row r="177" spans="27:27" x14ac:dyDescent="0.3">
      <c r="AA177" t="s">
        <v>394</v>
      </c>
    </row>
    <row r="178" spans="27:27" x14ac:dyDescent="0.3">
      <c r="AA178" t="s">
        <v>394</v>
      </c>
    </row>
    <row r="179" spans="27:27" x14ac:dyDescent="0.3">
      <c r="AA179" t="s">
        <v>394</v>
      </c>
    </row>
    <row r="180" spans="27:27" x14ac:dyDescent="0.3">
      <c r="AA180" t="s">
        <v>394</v>
      </c>
    </row>
    <row r="181" spans="27:27" x14ac:dyDescent="0.3">
      <c r="AA181" t="s">
        <v>394</v>
      </c>
    </row>
    <row r="182" spans="27:27" x14ac:dyDescent="0.3">
      <c r="AA182" t="s">
        <v>394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2.Main">
                <anchor moveWithCells="1" sizeWithCells="1">
                  <from>
                    <xdr:col>0</xdr:col>
                    <xdr:colOff>198120</xdr:colOff>
                    <xdr:row>5</xdr:row>
                    <xdr:rowOff>68580</xdr:rowOff>
                  </from>
                  <to>
                    <xdr:col>1</xdr:col>
                    <xdr:colOff>640080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7">
    <tablePart r:id="rId4"/>
    <tablePart r:id="rId5"/>
    <tablePart r:id="rId6"/>
    <tablePart r:id="rId7"/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2B656-36E1-4910-8E6F-6080441C142C}">
  <sheetPr codeName="Sheet1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Duel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Kavithasan P</dc:creator>
  <cp:lastModifiedBy>Kavithasan P</cp:lastModifiedBy>
  <dcterms:created xsi:type="dcterms:W3CDTF">2025-08-05T15:31:57Z</dcterms:created>
  <dcterms:modified xsi:type="dcterms:W3CDTF">2025-08-05T16:26:06Z</dcterms:modified>
</cp:coreProperties>
</file>